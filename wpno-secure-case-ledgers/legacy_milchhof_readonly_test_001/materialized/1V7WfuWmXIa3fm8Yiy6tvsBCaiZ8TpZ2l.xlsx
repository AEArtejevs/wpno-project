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72eff70d8152d2/Dokumente/Alt Sührkow/"/>
    </mc:Choice>
  </mc:AlternateContent>
  <xr:revisionPtr revIDLastSave="363" documentId="13_ncr:1_{1DCC71F5-2828-4EAA-8E7B-BEA125EEB8DD}" xr6:coauthVersionLast="47" xr6:coauthVersionMax="47" xr10:uidLastSave="{D310EB60-EF5F-4BBB-A82D-E15D1E51DB72}"/>
  <bookViews>
    <workbookView xWindow="-108" yWindow="-108" windowWidth="19416" windowHeight="10296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1" l="1"/>
  <c r="D107" i="1"/>
  <c r="D58" i="1"/>
  <c r="G45" i="1"/>
  <c r="G46" i="1"/>
  <c r="E19" i="1"/>
  <c r="E18" i="1"/>
  <c r="E20" i="1"/>
  <c r="E16" i="1"/>
  <c r="E10" i="1"/>
  <c r="C3" i="1"/>
  <c r="B105" i="1"/>
  <c r="B143" i="1" s="1"/>
  <c r="B104" i="1"/>
  <c r="A185" i="1" l="1"/>
  <c r="D94" i="1" l="1"/>
  <c r="D92" i="1"/>
  <c r="E13" i="1" l="1"/>
  <c r="E12" i="1"/>
  <c r="E11" i="1"/>
  <c r="E9" i="1"/>
  <c r="E8" i="1"/>
  <c r="E7" i="1"/>
  <c r="E6" i="1"/>
  <c r="E5" i="1"/>
  <c r="E71" i="1"/>
  <c r="D64" i="1"/>
  <c r="D63" i="1"/>
  <c r="D62" i="1"/>
  <c r="D61" i="1"/>
  <c r="D60" i="1"/>
  <c r="D59" i="1"/>
  <c r="D57" i="1"/>
  <c r="D56" i="1"/>
  <c r="D55" i="1"/>
  <c r="D54" i="1"/>
  <c r="D53" i="1"/>
  <c r="D70" i="1"/>
  <c r="E22" i="1"/>
  <c r="B168" i="1" s="1"/>
  <c r="E141" i="1" l="1"/>
  <c r="A179" i="1" s="1"/>
  <c r="E131" i="1"/>
  <c r="E115" i="1"/>
  <c r="B157" i="1" s="1"/>
  <c r="D104" i="1"/>
  <c r="D103" i="1"/>
  <c r="D102" i="1"/>
  <c r="D101" i="1"/>
  <c r="D100" i="1"/>
  <c r="D99" i="1"/>
  <c r="D98" i="1"/>
  <c r="D97" i="1"/>
  <c r="D96" i="1"/>
  <c r="D95" i="1"/>
  <c r="D93" i="1"/>
  <c r="B169" i="1"/>
  <c r="D69" i="1"/>
  <c r="D68" i="1"/>
  <c r="F46" i="1"/>
  <c r="F45" i="1"/>
  <c r="E43" i="1"/>
  <c r="B164" i="1" s="1"/>
  <c r="E90" i="1" l="1"/>
  <c r="B167" i="1" s="1"/>
  <c r="E66" i="1"/>
  <c r="B166" i="1" s="1"/>
  <c r="B158" i="1"/>
  <c r="E51" i="1"/>
  <c r="B165" i="1" s="1"/>
  <c r="E3" i="1"/>
  <c r="B163" i="1" s="1"/>
  <c r="B172" i="1" l="1"/>
  <c r="A188" i="1" s="1"/>
  <c r="B170" i="1"/>
  <c r="A182" i="1" l="1"/>
  <c r="A175" i="1"/>
  <c r="A191" i="1"/>
  <c r="A193" i="1" s="1"/>
</calcChain>
</file>

<file path=xl/sharedStrings.xml><?xml version="1.0" encoding="utf-8"?>
<sst xmlns="http://schemas.openxmlformats.org/spreadsheetml/2006/main" count="157" uniqueCount="129">
  <si>
    <t>Umsatzerlöse</t>
  </si>
  <si>
    <t>€</t>
  </si>
  <si>
    <t>Std./Satz</t>
  </si>
  <si>
    <t>Std.</t>
  </si>
  <si>
    <t xml:space="preserve"> </t>
  </si>
  <si>
    <t>Personalkosten</t>
  </si>
  <si>
    <t>brutto gesamt</t>
  </si>
  <si>
    <t>brutto Monat</t>
  </si>
  <si>
    <t>Gesamt</t>
  </si>
  <si>
    <t>pro Jahr €</t>
  </si>
  <si>
    <t>Auto 1</t>
  </si>
  <si>
    <t>Auto 2</t>
  </si>
  <si>
    <t>Geschäftsausstattung Software</t>
  </si>
  <si>
    <t>Geschäftsausstattung Hardware</t>
  </si>
  <si>
    <t>Werbungskosten</t>
  </si>
  <si>
    <t>Steuerberater</t>
  </si>
  <si>
    <t>Berufskleidung</t>
  </si>
  <si>
    <t>Zinssatz</t>
  </si>
  <si>
    <t>Anlagevermögen</t>
  </si>
  <si>
    <t>Eigenkapital Sacheinlagen</t>
  </si>
  <si>
    <t>Fremdkapital Verbindlichkeiten gegenüber Kreditinstituten</t>
  </si>
  <si>
    <t>Gesamtvermögen</t>
  </si>
  <si>
    <t>Gesamtkapital</t>
  </si>
  <si>
    <t>BERECHNUNG EBIT</t>
  </si>
  <si>
    <t>Summe</t>
  </si>
  <si>
    <t>BERECHNUNG EBITDA</t>
  </si>
  <si>
    <t>UMSATZRENTABILITÄT in %</t>
  </si>
  <si>
    <t>NETTOVERSCHULDUNG</t>
  </si>
  <si>
    <t>RETURN ON INVESTMENT (ROI)</t>
  </si>
  <si>
    <t>TILGUNG</t>
  </si>
  <si>
    <t>Weizen WW</t>
  </si>
  <si>
    <t>Ertrag</t>
  </si>
  <si>
    <t>Erlös</t>
  </si>
  <si>
    <t>Silomais</t>
  </si>
  <si>
    <t>Kartoffeln</t>
  </si>
  <si>
    <t xml:space="preserve">Wintergerste </t>
  </si>
  <si>
    <t>Raps</t>
  </si>
  <si>
    <t>Zuckerrüben</t>
  </si>
  <si>
    <t>Agrarförderung</t>
  </si>
  <si>
    <t>Traktor 200PS</t>
  </si>
  <si>
    <t xml:space="preserve">Lkw </t>
  </si>
  <si>
    <t>Einzelkorndrille</t>
  </si>
  <si>
    <t>Muldenkipper 2x</t>
  </si>
  <si>
    <t>Kartoffeltechnik</t>
  </si>
  <si>
    <t>Teleskoplader</t>
  </si>
  <si>
    <t>Häcksler</t>
  </si>
  <si>
    <t>Kraft u. Schmierstoffe ges.</t>
  </si>
  <si>
    <t>Diverse Technik</t>
  </si>
  <si>
    <t>Strom u. Wasser</t>
  </si>
  <si>
    <t>Gasölverbilligung</t>
  </si>
  <si>
    <t>Gehaltskosten gesamt</t>
  </si>
  <si>
    <t>Auto 3</t>
  </si>
  <si>
    <t>Fruchtart</t>
  </si>
  <si>
    <t xml:space="preserve">Ha </t>
  </si>
  <si>
    <t>Kosten ha</t>
  </si>
  <si>
    <t>Winterweizen</t>
  </si>
  <si>
    <t>Kartoffel</t>
  </si>
  <si>
    <t>Wintergerste</t>
  </si>
  <si>
    <t>Dünger, Saatgut und Pflanzenschutz</t>
  </si>
  <si>
    <t>Aufdüngung und Zwischenfrucht</t>
  </si>
  <si>
    <t>Abschreibungen Fuhrpark Kfz</t>
  </si>
  <si>
    <t>Rechtsberatung</t>
  </si>
  <si>
    <t>Grund und Boden</t>
  </si>
  <si>
    <t>Technik</t>
  </si>
  <si>
    <t>Betriebs u. Gesch</t>
  </si>
  <si>
    <t>Kredit</t>
  </si>
  <si>
    <t xml:space="preserve"> - sonstige betriebliche Aufwendungen</t>
  </si>
  <si>
    <t xml:space="preserve"> -kosten Technik</t>
  </si>
  <si>
    <t xml:space="preserve"> - Dünger u. Pflanzenschutz</t>
  </si>
  <si>
    <t xml:space="preserve"> - Personalaufwand</t>
  </si>
  <si>
    <t xml:space="preserve"> - Zinsen</t>
  </si>
  <si>
    <t xml:space="preserve"> -Afa Pkw</t>
  </si>
  <si>
    <t>Lohnarbeiten durch 3.</t>
  </si>
  <si>
    <t>Zu erwartende Steuer</t>
  </si>
  <si>
    <t>Traktor 250PS</t>
  </si>
  <si>
    <t>Flächenpacht</t>
  </si>
  <si>
    <t>2x GF</t>
  </si>
  <si>
    <t>Kosten für Zertifizierungen</t>
  </si>
  <si>
    <t xml:space="preserve">Telefon + Telefonkostenpauschale </t>
  </si>
  <si>
    <t>Erlös Ackerland</t>
  </si>
  <si>
    <t>Tilgung</t>
  </si>
  <si>
    <t>Laufzeit</t>
  </si>
  <si>
    <t>Zinskosten</t>
  </si>
  <si>
    <t>Gesamtvolumen</t>
  </si>
  <si>
    <t>Grünland</t>
  </si>
  <si>
    <t>Traktor 400PS 2X</t>
  </si>
  <si>
    <t>Traktor 180PS</t>
  </si>
  <si>
    <t>Feldspritze/Düngerstreuer</t>
  </si>
  <si>
    <t>Drescher 2x</t>
  </si>
  <si>
    <t>Kartoffelroder</t>
  </si>
  <si>
    <t>Erbsen/Lupinen</t>
  </si>
  <si>
    <t>Pflanzenschutz div.</t>
  </si>
  <si>
    <t>Dünger nicht zuordenbar</t>
  </si>
  <si>
    <t xml:space="preserve">Bestand ges. per </t>
  </si>
  <si>
    <t>Finanzaufwand Zinsen (Noch keine Details bekannt)</t>
  </si>
  <si>
    <t>Hanf</t>
  </si>
  <si>
    <t xml:space="preserve">Hanf Nuss/Faser </t>
  </si>
  <si>
    <t>Ha/Menge</t>
  </si>
  <si>
    <t>€/dt/kg</t>
  </si>
  <si>
    <t>Milch 9000l 305Tageleistung  evtl. noch 500Tiere?</t>
  </si>
  <si>
    <t>Schlachttiere Altkuh</t>
  </si>
  <si>
    <t>Schlachtbullen</t>
  </si>
  <si>
    <t>Weiderinder</t>
  </si>
  <si>
    <t>Bga</t>
  </si>
  <si>
    <t>Div. Jagdpacht etc.</t>
  </si>
  <si>
    <t>Reperaturen Technik u Gebäude</t>
  </si>
  <si>
    <t>Hilfsstoffe/kleingeräte etc.</t>
  </si>
  <si>
    <t xml:space="preserve">Drille </t>
  </si>
  <si>
    <t>Saft und Kraftfutter Mineral</t>
  </si>
  <si>
    <t>Inventar</t>
  </si>
  <si>
    <t>Verbindlichkeiten Ges.</t>
  </si>
  <si>
    <t>Ackerland von Milchhof</t>
  </si>
  <si>
    <t>Annuss usw.</t>
  </si>
  <si>
    <t>Gebäude etc.</t>
  </si>
  <si>
    <t>Wasser/Strom</t>
  </si>
  <si>
    <t xml:space="preserve">Gewinn vor Steuer </t>
  </si>
  <si>
    <t xml:space="preserve">Geräte/betriebskosten inkl. Afa + Betriebsstoffe (Diesel, Schmierstoffe, Öl) </t>
  </si>
  <si>
    <t>Art</t>
  </si>
  <si>
    <t>Grünland 4 schnitt</t>
  </si>
  <si>
    <t>Versicherungen (Haftpflicht, Hagel, Tier- KFZ etc.)</t>
  </si>
  <si>
    <t>Tierartzt/Medikamente und Kontrollen (bei 700 Tier + NZ)</t>
  </si>
  <si>
    <t>Betriebliche Aufwendungen</t>
  </si>
  <si>
    <t xml:space="preserve">Müllentsorgung </t>
  </si>
  <si>
    <t>Daten aus Gewinn und Verlustrechnung Milch u Landhof Alt Sührkow für 2025</t>
  </si>
  <si>
    <t>Gewinn nach Steuer und Tilgung</t>
  </si>
  <si>
    <t>Sperma index 1,4-1,5 incl NZ</t>
  </si>
  <si>
    <t>Kaufpreis</t>
  </si>
  <si>
    <t>Kaufpreis/Nebenkosten etc.</t>
  </si>
  <si>
    <t>Gebäude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</si>
</sst>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 &quot;%"/>
    <numFmt numFmtId="165" formatCode="#,##0.0"/>
  </numFmts>
  <fonts count="18">
    <font>
      <sz val="11"/>
      <color theme="1"/>
      <name val="Liberation Sans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sz val="11"/>
      <color theme="1"/>
      <name val="Liberation Sans"/>
    </font>
    <font>
      <b/>
      <sz val="11"/>
      <color rgb="FF000000"/>
      <name val="Liberation Sans"/>
    </font>
    <font>
      <b/>
      <sz val="13"/>
      <color theme="1"/>
      <name val="Liberation Sans"/>
    </font>
    <font>
      <sz val="14"/>
      <color theme="1"/>
      <name val="Liberation Sans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ACB20C"/>
        <bgColor rgb="FFACB20C"/>
      </patternFill>
    </fill>
    <fill>
      <patternFill patternType="solid">
        <fgColor rgb="FFFF8000"/>
        <bgColor rgb="FFFF8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12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" fillId="0" borderId="0"/>
    <xf numFmtId="0" fontId="1" fillId="0" borderId="0"/>
    <xf numFmtId="0" fontId="4" fillId="0" borderId="0"/>
  </cellStyleXfs>
  <cellXfs count="28">
    <xf numFmtId="0" fontId="0" fillId="0" borderId="0" xfId="0"/>
    <xf numFmtId="0" fontId="14" fillId="9" borderId="0" xfId="0" applyFont="1" applyFill="1" applyAlignment="1">
      <alignment readingOrder="1"/>
    </xf>
    <xf numFmtId="3" fontId="14" fillId="9" borderId="0" xfId="0" applyNumberFormat="1" applyFont="1" applyFill="1" applyAlignment="1">
      <alignment readingOrder="1"/>
    </xf>
    <xf numFmtId="0" fontId="14" fillId="10" borderId="0" xfId="0" applyFont="1" applyFill="1"/>
    <xf numFmtId="3" fontId="14" fillId="10" borderId="0" xfId="0" applyNumberFormat="1" applyFont="1" applyFill="1"/>
    <xf numFmtId="0" fontId="14" fillId="0" borderId="0" xfId="0" applyFont="1"/>
    <xf numFmtId="3" fontId="0" fillId="0" borderId="0" xfId="0" applyNumberFormat="1" applyAlignment="1">
      <alignment horizontal="center"/>
    </xf>
    <xf numFmtId="3" fontId="0" fillId="0" borderId="0" xfId="0" applyNumberFormat="1"/>
    <xf numFmtId="3" fontId="14" fillId="0" borderId="0" xfId="0" applyNumberFormat="1" applyFont="1"/>
    <xf numFmtId="0" fontId="0" fillId="0" borderId="0" xfId="0" applyAlignment="1">
      <alignment horizontal="center"/>
    </xf>
    <xf numFmtId="0" fontId="14" fillId="11" borderId="0" xfId="0" applyFont="1" applyFill="1"/>
    <xf numFmtId="3" fontId="14" fillId="12" borderId="0" xfId="0" applyNumberFormat="1" applyFont="1" applyFill="1"/>
    <xf numFmtId="2" fontId="14" fillId="12" borderId="0" xfId="0" applyNumberFormat="1" applyFont="1" applyFill="1" applyAlignment="1">
      <alignment horizontal="center"/>
    </xf>
    <xf numFmtId="164" fontId="0" fillId="0" borderId="0" xfId="0" applyNumberFormat="1"/>
    <xf numFmtId="0" fontId="15" fillId="11" borderId="0" xfId="0" applyFont="1" applyFill="1"/>
    <xf numFmtId="3" fontId="0" fillId="13" borderId="0" xfId="0" applyNumberFormat="1" applyFill="1"/>
    <xf numFmtId="0" fontId="17" fillId="14" borderId="0" xfId="0" applyFont="1" applyFill="1"/>
    <xf numFmtId="0" fontId="16" fillId="13" borderId="0" xfId="0" applyFont="1" applyFill="1"/>
    <xf numFmtId="3" fontId="16" fillId="13" borderId="0" xfId="0" applyNumberFormat="1" applyFont="1" applyFill="1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3" fontId="0" fillId="16" borderId="0" xfId="0" applyNumberFormat="1" applyFill="1" applyAlignment="1">
      <alignment horizontal="center"/>
    </xf>
    <xf numFmtId="3" fontId="14" fillId="17" borderId="0" xfId="0" applyNumberFormat="1" applyFont="1" applyFill="1"/>
    <xf numFmtId="3" fontId="14" fillId="12" borderId="0" xfId="0" applyNumberFormat="1" applyFont="1" applyFill="1" applyAlignment="1">
      <alignment horizontal="center"/>
    </xf>
    <xf numFmtId="4" fontId="0" fillId="0" borderId="0" xfId="0" applyNumberFormat="1"/>
    <xf numFmtId="165" fontId="0" fillId="0" borderId="0" xfId="0" applyNumberFormat="1"/>
    <xf numFmtId="4" fontId="0" fillId="15" borderId="0" xfId="0" applyNumberFormat="1" applyFill="1" applyAlignment="1">
      <alignment horizontal="center"/>
    </xf>
    <xf numFmtId="4" fontId="14" fillId="12" borderId="0" xfId="0" applyNumberFormat="1" applyFont="1" applyFill="1" applyAlignment="1">
      <alignment horizontal="center"/>
    </xf>
  </cellXfs>
  <cellStyles count="18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Footnote" xfId="8" xr:uid="{00000000-0005-0000-0000-000006000000}"/>
    <cellStyle name="Good" xfId="9" xr:uid="{00000000-0005-0000-0000-000007000000}"/>
    <cellStyle name="Heading (user)" xfId="10" xr:uid="{00000000-0005-0000-0000-000008000000}"/>
    <cellStyle name="Heading 1" xfId="11" xr:uid="{00000000-0005-0000-0000-000009000000}"/>
    <cellStyle name="Heading 2" xfId="12" xr:uid="{00000000-0005-0000-0000-00000A000000}"/>
    <cellStyle name="Hyperlink" xfId="13" xr:uid="{00000000-0005-0000-0000-00000B000000}"/>
    <cellStyle name="Neutral" xfId="1" builtinId="28" customBuiltin="1"/>
    <cellStyle name="Note" xfId="14" xr:uid="{00000000-0005-0000-0000-00000D000000}"/>
    <cellStyle name="Standard" xfId="0" builtinId="0" customBuiltin="1"/>
    <cellStyle name="Status" xfId="15" xr:uid="{00000000-0005-0000-0000-00000F000000}"/>
    <cellStyle name="Text" xfId="16" xr:uid="{00000000-0005-0000-0000-000010000000}"/>
    <cellStyle name="Warning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L193"/>
  <sheetViews>
    <sheetView tabSelected="1" topLeftCell="A179" workbookViewId="0">
      <selection activeCell="B122" sqref="B122"/>
    </sheetView>
  </sheetViews>
  <sheetFormatPr baseColWidth="10" defaultRowHeight="13.8"/>
  <cols>
    <col min="1" max="1" width="45.8984375" customWidth="1"/>
    <col min="2" max="2" width="14.296875" customWidth="1"/>
    <col min="3" max="4" width="10.69921875" customWidth="1"/>
    <col min="5" max="5" width="13" customWidth="1"/>
    <col min="6" max="64" width="10.69921875" customWidth="1"/>
  </cols>
  <sheetData>
    <row r="2" spans="1:64">
      <c r="A2" s="1" t="s">
        <v>123</v>
      </c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>
      <c r="A3" s="3" t="s">
        <v>0</v>
      </c>
      <c r="B3" s="4"/>
      <c r="C3" s="4">
        <f>SUM(C5:C13)</f>
        <v>1954.43</v>
      </c>
      <c r="D3" s="4"/>
      <c r="E3" s="4">
        <f>SUM(E5:E21)</f>
        <v>9191048.175999999</v>
      </c>
      <c r="F3" s="4"/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</row>
    <row r="4" spans="1:64">
      <c r="A4" s="5" t="s">
        <v>117</v>
      </c>
      <c r="B4" s="6" t="s">
        <v>98</v>
      </c>
      <c r="C4" s="6" t="s">
        <v>97</v>
      </c>
      <c r="D4" s="6" t="s">
        <v>31</v>
      </c>
      <c r="E4" s="7" t="s">
        <v>32</v>
      </c>
      <c r="F4" s="7"/>
      <c r="G4" s="7"/>
    </row>
    <row r="5" spans="1:64">
      <c r="A5" t="s">
        <v>30</v>
      </c>
      <c r="B5" s="7">
        <v>22</v>
      </c>
      <c r="C5" s="7">
        <v>375</v>
      </c>
      <c r="D5" s="15">
        <v>88.5</v>
      </c>
      <c r="E5" s="7">
        <f t="shared" ref="E5:E13" si="0">(C5*D5)*B5</f>
        <v>730125</v>
      </c>
      <c r="F5" s="7"/>
      <c r="G5" s="7"/>
    </row>
    <row r="6" spans="1:64">
      <c r="A6" t="s">
        <v>33</v>
      </c>
      <c r="B6" s="7">
        <v>39</v>
      </c>
      <c r="C6" s="7">
        <v>200</v>
      </c>
      <c r="D6" s="15">
        <v>38.82</v>
      </c>
      <c r="E6" s="7">
        <f t="shared" si="0"/>
        <v>302796</v>
      </c>
      <c r="F6" s="7"/>
      <c r="G6" s="7"/>
    </row>
    <row r="7" spans="1:64">
      <c r="A7" t="s">
        <v>34</v>
      </c>
      <c r="B7" s="7">
        <v>23</v>
      </c>
      <c r="C7" s="7">
        <v>75</v>
      </c>
      <c r="D7" s="7">
        <v>400</v>
      </c>
      <c r="E7" s="7">
        <f t="shared" si="0"/>
        <v>690000</v>
      </c>
      <c r="F7" s="7"/>
      <c r="G7" s="7"/>
    </row>
    <row r="8" spans="1:64">
      <c r="A8" t="s">
        <v>35</v>
      </c>
      <c r="B8" s="7">
        <v>18</v>
      </c>
      <c r="C8" s="7">
        <v>191.69</v>
      </c>
      <c r="D8" s="15">
        <v>86.1</v>
      </c>
      <c r="E8" s="7">
        <f t="shared" si="0"/>
        <v>297081.16199999995</v>
      </c>
      <c r="F8" s="7"/>
      <c r="G8" s="7"/>
    </row>
    <row r="9" spans="1:64">
      <c r="A9" t="s">
        <v>90</v>
      </c>
      <c r="B9" s="7">
        <v>25</v>
      </c>
      <c r="C9" s="7">
        <v>68</v>
      </c>
      <c r="D9" s="15">
        <v>25</v>
      </c>
      <c r="E9" s="7">
        <f t="shared" si="0"/>
        <v>42500</v>
      </c>
      <c r="F9" s="7"/>
      <c r="G9" s="7"/>
    </row>
    <row r="10" spans="1:64">
      <c r="A10" t="s">
        <v>96</v>
      </c>
      <c r="B10" s="7">
        <v>200</v>
      </c>
      <c r="C10" s="7">
        <v>50</v>
      </c>
      <c r="D10" s="15">
        <v>12</v>
      </c>
      <c r="E10" s="7">
        <f t="shared" si="0"/>
        <v>120000</v>
      </c>
      <c r="F10" s="7"/>
      <c r="G10" s="7"/>
    </row>
    <row r="11" spans="1:64">
      <c r="A11" t="s">
        <v>36</v>
      </c>
      <c r="B11" s="7">
        <v>46</v>
      </c>
      <c r="C11" s="7">
        <v>350</v>
      </c>
      <c r="D11" s="7">
        <v>40.5</v>
      </c>
      <c r="E11" s="7">
        <f t="shared" si="0"/>
        <v>652050</v>
      </c>
      <c r="F11" s="7"/>
      <c r="G11" s="7"/>
    </row>
    <row r="12" spans="1:64">
      <c r="A12" t="s">
        <v>37</v>
      </c>
      <c r="B12" s="7">
        <v>3</v>
      </c>
      <c r="C12" s="7">
        <v>40.74</v>
      </c>
      <c r="D12" s="7">
        <v>743.7</v>
      </c>
      <c r="E12" s="7">
        <f t="shared" si="0"/>
        <v>90895.01400000001</v>
      </c>
      <c r="F12" s="7"/>
      <c r="G12" s="7"/>
    </row>
    <row r="13" spans="1:64">
      <c r="A13" t="s">
        <v>118</v>
      </c>
      <c r="B13" s="7">
        <v>6</v>
      </c>
      <c r="C13" s="7">
        <v>604</v>
      </c>
      <c r="D13" s="7">
        <v>200</v>
      </c>
      <c r="E13" s="7">
        <f t="shared" si="0"/>
        <v>724800</v>
      </c>
      <c r="F13" s="7"/>
      <c r="G13" s="7"/>
    </row>
    <row r="14" spans="1:64">
      <c r="A14" t="s">
        <v>38</v>
      </c>
      <c r="B14" s="7"/>
      <c r="C14" s="7"/>
      <c r="D14" s="7"/>
      <c r="E14" s="7">
        <v>742141</v>
      </c>
      <c r="F14" s="7"/>
      <c r="G14" s="7"/>
    </row>
    <row r="15" spans="1:64">
      <c r="A15" t="s">
        <v>103</v>
      </c>
      <c r="B15" s="7"/>
      <c r="C15" s="7"/>
      <c r="D15" s="7"/>
      <c r="E15" s="7">
        <v>150000</v>
      </c>
      <c r="F15" s="7"/>
      <c r="G15" s="7"/>
    </row>
    <row r="16" spans="1:64">
      <c r="A16" t="s">
        <v>99</v>
      </c>
      <c r="B16" s="24">
        <v>0.45</v>
      </c>
      <c r="C16" s="7">
        <v>700</v>
      </c>
      <c r="D16" s="7">
        <v>9500</v>
      </c>
      <c r="E16" s="7">
        <f>(D16*C16)*B16</f>
        <v>2992500</v>
      </c>
      <c r="F16" s="7"/>
      <c r="G16" s="7"/>
    </row>
    <row r="17" spans="1:64">
      <c r="A17" t="s">
        <v>49</v>
      </c>
      <c r="B17" s="7"/>
      <c r="C17" s="7"/>
      <c r="D17" s="7"/>
      <c r="E17" s="7">
        <v>50000</v>
      </c>
      <c r="F17" s="7"/>
      <c r="G17" s="7"/>
    </row>
    <row r="18" spans="1:64">
      <c r="A18" t="s">
        <v>101</v>
      </c>
      <c r="B18" s="25">
        <v>5.6</v>
      </c>
      <c r="C18" s="7">
        <v>450</v>
      </c>
      <c r="D18" s="7">
        <v>420</v>
      </c>
      <c r="E18" s="7">
        <f>(D18*C18)*B18</f>
        <v>1058400</v>
      </c>
      <c r="F18" s="7"/>
      <c r="G18" s="7"/>
    </row>
    <row r="19" spans="1:64">
      <c r="A19" t="s">
        <v>102</v>
      </c>
      <c r="B19" s="8">
        <v>6.8</v>
      </c>
      <c r="C19" s="8">
        <v>130</v>
      </c>
      <c r="D19" s="8">
        <v>390</v>
      </c>
      <c r="E19" s="7">
        <f>(D19*C19)*B19</f>
        <v>344760</v>
      </c>
      <c r="F19" s="7"/>
      <c r="G19" s="7"/>
    </row>
    <row r="20" spans="1:64">
      <c r="A20" t="s">
        <v>100</v>
      </c>
      <c r="B20" s="24">
        <v>4.5</v>
      </c>
      <c r="C20" s="7">
        <v>100</v>
      </c>
      <c r="D20" s="7">
        <v>340</v>
      </c>
      <c r="E20" s="7">
        <f>(D20*C20)*B20</f>
        <v>153000</v>
      </c>
      <c r="F20" s="7"/>
      <c r="G20" s="7"/>
    </row>
    <row r="21" spans="1:64">
      <c r="A21" t="s">
        <v>104</v>
      </c>
      <c r="B21" s="7"/>
      <c r="C21" s="7"/>
      <c r="D21" s="7"/>
      <c r="E21" s="7">
        <v>50000</v>
      </c>
      <c r="F21" s="7"/>
      <c r="G21" s="7"/>
    </row>
    <row r="22" spans="1:64">
      <c r="A22" s="3" t="s">
        <v>116</v>
      </c>
      <c r="B22" s="4"/>
      <c r="C22" s="4"/>
      <c r="D22" s="4"/>
      <c r="E22" s="4">
        <f>SUM(B24:B42)</f>
        <v>1285400</v>
      </c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</row>
    <row r="23" spans="1:64">
      <c r="B23" s="6" t="s">
        <v>1</v>
      </c>
      <c r="C23" s="7"/>
      <c r="D23" s="7"/>
      <c r="E23" s="7"/>
      <c r="F23" s="7"/>
      <c r="G23" s="7"/>
    </row>
    <row r="24" spans="1:64">
      <c r="A24" t="s">
        <v>85</v>
      </c>
      <c r="B24" s="7">
        <v>86800</v>
      </c>
      <c r="C24" s="7" t="s">
        <v>4</v>
      </c>
      <c r="D24" s="7" t="s">
        <v>4</v>
      </c>
      <c r="E24" s="7"/>
      <c r="F24" s="7"/>
      <c r="G24" s="7"/>
    </row>
    <row r="25" spans="1:64">
      <c r="A25" t="s">
        <v>86</v>
      </c>
      <c r="B25" s="7">
        <v>16200</v>
      </c>
      <c r="C25" s="7"/>
      <c r="D25" s="7"/>
      <c r="E25" s="7"/>
      <c r="F25" s="7"/>
      <c r="G25" s="7"/>
    </row>
    <row r="26" spans="1:64">
      <c r="A26" t="s">
        <v>74</v>
      </c>
      <c r="B26" s="7">
        <v>57400</v>
      </c>
      <c r="C26" s="7"/>
      <c r="D26" s="7"/>
      <c r="E26" s="7"/>
      <c r="F26" s="7"/>
      <c r="G26" s="7"/>
    </row>
    <row r="27" spans="1:64">
      <c r="A27" t="s">
        <v>39</v>
      </c>
      <c r="B27" s="7">
        <v>5700</v>
      </c>
      <c r="C27" s="7"/>
      <c r="D27" s="7"/>
      <c r="E27" s="7"/>
      <c r="F27" s="7"/>
      <c r="G27" s="7"/>
    </row>
    <row r="28" spans="1:64">
      <c r="A28" t="s">
        <v>107</v>
      </c>
      <c r="B28" s="7">
        <v>43400</v>
      </c>
      <c r="C28" s="7"/>
      <c r="D28" s="7"/>
      <c r="E28" s="7"/>
      <c r="F28" s="7"/>
      <c r="G28" s="7"/>
    </row>
    <row r="29" spans="1:64">
      <c r="A29" t="s">
        <v>40</v>
      </c>
      <c r="B29" s="7">
        <v>9800</v>
      </c>
      <c r="C29" s="7"/>
      <c r="D29" s="7"/>
      <c r="E29" s="7"/>
      <c r="F29" s="7"/>
      <c r="G29" s="7"/>
    </row>
    <row r="30" spans="1:64">
      <c r="A30" t="s">
        <v>40</v>
      </c>
      <c r="B30" s="7">
        <v>9800</v>
      </c>
      <c r="C30" s="7"/>
      <c r="D30" s="7"/>
      <c r="E30" s="7"/>
      <c r="F30" s="7"/>
      <c r="G30" s="7"/>
    </row>
    <row r="31" spans="1:64">
      <c r="A31" t="s">
        <v>87</v>
      </c>
      <c r="B31" s="7">
        <v>75000</v>
      </c>
      <c r="C31" s="7"/>
      <c r="D31" s="7"/>
      <c r="E31" s="7"/>
      <c r="F31" s="7"/>
      <c r="G31" s="7"/>
    </row>
    <row r="32" spans="1:64">
      <c r="A32" t="s">
        <v>88</v>
      </c>
      <c r="B32" s="7">
        <v>110500</v>
      </c>
      <c r="C32" s="7"/>
      <c r="D32" s="7"/>
      <c r="E32" s="7"/>
      <c r="F32" s="7"/>
      <c r="G32" s="7"/>
    </row>
    <row r="33" spans="1:64">
      <c r="A33" t="s">
        <v>89</v>
      </c>
      <c r="B33" s="7">
        <v>40000</v>
      </c>
      <c r="C33" s="7"/>
      <c r="D33" s="7"/>
      <c r="E33" s="7"/>
      <c r="F33" s="7"/>
      <c r="G33" s="7"/>
    </row>
    <row r="34" spans="1:64">
      <c r="A34" t="s">
        <v>41</v>
      </c>
      <c r="B34" s="7">
        <v>18900</v>
      </c>
      <c r="C34" s="7"/>
      <c r="D34" s="7"/>
      <c r="E34" s="7"/>
      <c r="F34" s="7"/>
      <c r="G34" s="7"/>
    </row>
    <row r="35" spans="1:64">
      <c r="A35" t="s">
        <v>42</v>
      </c>
      <c r="B35" s="7">
        <v>10000</v>
      </c>
      <c r="C35" s="7"/>
      <c r="D35" s="7"/>
      <c r="E35" s="7"/>
      <c r="F35" s="7"/>
      <c r="G35" s="7"/>
    </row>
    <row r="36" spans="1:64">
      <c r="A36" t="s">
        <v>43</v>
      </c>
      <c r="B36" s="7">
        <v>30000</v>
      </c>
      <c r="C36" s="7"/>
      <c r="D36" s="7"/>
      <c r="E36" s="7"/>
      <c r="F36" s="7"/>
      <c r="G36" s="7"/>
    </row>
    <row r="37" spans="1:64">
      <c r="A37" t="s">
        <v>44</v>
      </c>
      <c r="B37" s="7">
        <v>18900</v>
      </c>
      <c r="C37" s="7"/>
      <c r="D37" s="7"/>
      <c r="E37" s="7"/>
      <c r="F37" s="7"/>
      <c r="G37" s="7"/>
    </row>
    <row r="38" spans="1:64">
      <c r="A38" t="s">
        <v>45</v>
      </c>
      <c r="B38" s="7">
        <v>45000</v>
      </c>
      <c r="C38" s="7"/>
      <c r="D38" s="7"/>
      <c r="E38" s="7"/>
      <c r="F38" s="7"/>
      <c r="G38" s="7"/>
    </row>
    <row r="39" spans="1:64">
      <c r="A39" t="s">
        <v>47</v>
      </c>
      <c r="B39" s="7">
        <v>150000</v>
      </c>
      <c r="C39" s="7"/>
      <c r="D39" s="7"/>
      <c r="E39" s="7"/>
      <c r="F39" s="7"/>
      <c r="G39" s="7"/>
    </row>
    <row r="40" spans="1:64">
      <c r="A40" t="s">
        <v>46</v>
      </c>
      <c r="B40" s="7">
        <v>250000</v>
      </c>
      <c r="C40" s="7"/>
      <c r="D40" s="7"/>
      <c r="E40" s="7"/>
      <c r="F40" s="7"/>
      <c r="G40" s="7"/>
    </row>
    <row r="41" spans="1:64">
      <c r="A41" t="s">
        <v>105</v>
      </c>
      <c r="B41" s="7">
        <v>300000</v>
      </c>
      <c r="C41" s="7"/>
      <c r="D41" s="7"/>
      <c r="E41" s="7"/>
      <c r="F41" s="7"/>
      <c r="G41" s="7"/>
    </row>
    <row r="42" spans="1:64" ht="12.6" customHeight="1">
      <c r="A42" t="s">
        <v>48</v>
      </c>
      <c r="B42" s="7">
        <v>8000</v>
      </c>
      <c r="C42" s="7"/>
      <c r="D42" s="7"/>
      <c r="E42" s="7"/>
      <c r="F42" s="7"/>
      <c r="G42" s="7"/>
    </row>
    <row r="43" spans="1:64">
      <c r="A43" s="3" t="s">
        <v>5</v>
      </c>
      <c r="B43" s="4"/>
      <c r="C43" s="4"/>
      <c r="D43" s="4"/>
      <c r="E43" s="4">
        <f>SUM(G45:G49)</f>
        <v>1313965</v>
      </c>
      <c r="F43" s="4" t="s">
        <v>4</v>
      </c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</row>
    <row r="44" spans="1:64">
      <c r="A44" s="5"/>
      <c r="B44" s="8"/>
      <c r="C44" s="6" t="s">
        <v>3</v>
      </c>
      <c r="D44" s="6" t="s">
        <v>2</v>
      </c>
      <c r="E44" s="6" t="s">
        <v>6</v>
      </c>
      <c r="F44" s="6" t="s">
        <v>7</v>
      </c>
      <c r="G44" s="8" t="s">
        <v>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</row>
    <row r="45" spans="1:64">
      <c r="A45" t="s">
        <v>76</v>
      </c>
      <c r="B45" s="7" t="s">
        <v>4</v>
      </c>
      <c r="C45" s="7">
        <v>0</v>
      </c>
      <c r="D45" s="7"/>
      <c r="E45" s="7">
        <v>30000</v>
      </c>
      <c r="F45" s="7">
        <f>E45/12</f>
        <v>2500</v>
      </c>
      <c r="G45" s="7">
        <f>(E45*2)</f>
        <v>60000</v>
      </c>
    </row>
    <row r="46" spans="1:64">
      <c r="A46" t="s">
        <v>50</v>
      </c>
      <c r="B46" s="7" t="s">
        <v>4</v>
      </c>
      <c r="C46" s="7">
        <v>0</v>
      </c>
      <c r="D46" s="7">
        <v>0</v>
      </c>
      <c r="E46" s="7">
        <v>1253965</v>
      </c>
      <c r="F46" s="7">
        <f>E46/12</f>
        <v>104497.08333333333</v>
      </c>
      <c r="G46" s="7">
        <f>E46</f>
        <v>1253965</v>
      </c>
    </row>
    <row r="47" spans="1:64">
      <c r="B47" s="7" t="s">
        <v>4</v>
      </c>
      <c r="C47" s="7">
        <v>0</v>
      </c>
      <c r="D47" s="7">
        <v>0</v>
      </c>
      <c r="E47" s="7"/>
      <c r="F47" s="7"/>
      <c r="G47" s="7"/>
    </row>
    <row r="48" spans="1:64">
      <c r="B48" s="7" t="s">
        <v>4</v>
      </c>
      <c r="C48" s="7"/>
      <c r="D48" s="7"/>
      <c r="E48" s="7"/>
      <c r="F48" s="7"/>
      <c r="G48" s="7"/>
    </row>
    <row r="49" spans="1:64">
      <c r="B49" s="7" t="s">
        <v>4</v>
      </c>
      <c r="C49" s="7"/>
      <c r="D49" s="7"/>
      <c r="E49" s="7"/>
      <c r="F49" s="7"/>
      <c r="G49" s="7"/>
    </row>
    <row r="50" spans="1:64">
      <c r="B50" s="7"/>
      <c r="C50" s="7"/>
      <c r="D50" s="7"/>
      <c r="E50" s="7"/>
      <c r="F50" s="7"/>
      <c r="G50" s="7"/>
    </row>
    <row r="51" spans="1:64">
      <c r="A51" s="3" t="s">
        <v>58</v>
      </c>
      <c r="B51" s="4"/>
      <c r="C51" s="4"/>
      <c r="D51" s="4"/>
      <c r="E51" s="4">
        <f>SUM(D53:D64)</f>
        <v>2953956</v>
      </c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</row>
    <row r="52" spans="1:64">
      <c r="A52" t="s">
        <v>52</v>
      </c>
      <c r="B52" s="7" t="s">
        <v>53</v>
      </c>
      <c r="C52" s="7" t="s">
        <v>54</v>
      </c>
      <c r="D52" s="7" t="s">
        <v>9</v>
      </c>
      <c r="E52" s="7"/>
      <c r="F52" s="7"/>
      <c r="G52" s="7"/>
    </row>
    <row r="53" spans="1:64">
      <c r="A53" t="s">
        <v>55</v>
      </c>
      <c r="B53" s="7">
        <v>300</v>
      </c>
      <c r="C53" s="7">
        <v>1082</v>
      </c>
      <c r="D53" s="7">
        <f t="shared" ref="D53:D64" si="1">B53*C53</f>
        <v>324600</v>
      </c>
      <c r="E53" s="7"/>
      <c r="F53" s="7"/>
      <c r="G53" s="7"/>
    </row>
    <row r="54" spans="1:64">
      <c r="A54" t="s">
        <v>33</v>
      </c>
      <c r="B54" s="7">
        <v>200</v>
      </c>
      <c r="C54" s="7">
        <v>1380</v>
      </c>
      <c r="D54" s="7">
        <f t="shared" si="1"/>
        <v>276000</v>
      </c>
      <c r="E54" s="7"/>
      <c r="F54" s="7"/>
      <c r="G54" s="7"/>
    </row>
    <row r="55" spans="1:64">
      <c r="A55" t="s">
        <v>56</v>
      </c>
      <c r="B55" s="7">
        <v>250</v>
      </c>
      <c r="C55" s="7">
        <v>3035</v>
      </c>
      <c r="D55" s="7">
        <f t="shared" si="1"/>
        <v>758750</v>
      </c>
      <c r="E55" s="7"/>
      <c r="F55" s="7"/>
      <c r="G55" s="7"/>
    </row>
    <row r="56" spans="1:64">
      <c r="A56" t="s">
        <v>57</v>
      </c>
      <c r="B56" s="7">
        <v>191.69</v>
      </c>
      <c r="C56" s="7">
        <v>980</v>
      </c>
      <c r="D56" s="7">
        <f t="shared" si="1"/>
        <v>187856.2</v>
      </c>
      <c r="E56" s="7"/>
      <c r="F56" s="7"/>
      <c r="G56" s="7"/>
    </row>
    <row r="57" spans="1:64">
      <c r="A57" t="s">
        <v>90</v>
      </c>
      <c r="B57" s="7">
        <v>38.08</v>
      </c>
      <c r="C57" s="7">
        <v>625</v>
      </c>
      <c r="D57" s="7">
        <f t="shared" si="1"/>
        <v>23800</v>
      </c>
      <c r="E57" s="7"/>
      <c r="F57" s="7"/>
      <c r="G57" s="7"/>
    </row>
    <row r="58" spans="1:64">
      <c r="A58" t="s">
        <v>95</v>
      </c>
      <c r="B58" s="7">
        <v>50</v>
      </c>
      <c r="C58" s="7">
        <v>200</v>
      </c>
      <c r="D58" s="7">
        <f t="shared" si="1"/>
        <v>10000</v>
      </c>
      <c r="E58" s="7"/>
      <c r="F58" s="7"/>
      <c r="G58" s="7"/>
    </row>
    <row r="59" spans="1:64">
      <c r="A59" t="s">
        <v>36</v>
      </c>
      <c r="B59" s="7">
        <v>250</v>
      </c>
      <c r="C59" s="7">
        <v>1252</v>
      </c>
      <c r="D59" s="7">
        <f t="shared" si="1"/>
        <v>313000</v>
      </c>
      <c r="E59" s="7"/>
      <c r="F59" s="7"/>
      <c r="G59" s="7"/>
    </row>
    <row r="60" spans="1:64">
      <c r="A60" t="s">
        <v>37</v>
      </c>
      <c r="B60" s="7">
        <v>40.74</v>
      </c>
      <c r="C60" s="7">
        <v>1520</v>
      </c>
      <c r="D60" s="7">
        <f t="shared" si="1"/>
        <v>61924.800000000003</v>
      </c>
      <c r="E60" s="7"/>
      <c r="F60" s="7"/>
      <c r="G60" s="7"/>
    </row>
    <row r="61" spans="1:64">
      <c r="A61" t="s">
        <v>84</v>
      </c>
      <c r="B61" s="7">
        <v>604</v>
      </c>
      <c r="C61" s="7">
        <v>1050</v>
      </c>
      <c r="D61" s="7">
        <f t="shared" si="1"/>
        <v>634200</v>
      </c>
      <c r="E61" s="7"/>
      <c r="F61" s="7"/>
      <c r="G61" s="7"/>
    </row>
    <row r="62" spans="1:64">
      <c r="A62" t="s">
        <v>91</v>
      </c>
      <c r="B62" s="7">
        <v>1225</v>
      </c>
      <c r="C62" s="7">
        <v>20</v>
      </c>
      <c r="D62" s="7">
        <f t="shared" si="1"/>
        <v>24500</v>
      </c>
      <c r="E62" s="7"/>
      <c r="F62" s="7"/>
      <c r="G62" s="7"/>
    </row>
    <row r="63" spans="1:64">
      <c r="A63" t="s">
        <v>92</v>
      </c>
      <c r="B63" s="7">
        <v>1225</v>
      </c>
      <c r="C63" s="7">
        <v>10</v>
      </c>
      <c r="D63" s="7">
        <f t="shared" si="1"/>
        <v>12250</v>
      </c>
      <c r="E63" s="7"/>
      <c r="F63" s="7"/>
      <c r="G63" s="7"/>
    </row>
    <row r="64" spans="1:64">
      <c r="A64" t="s">
        <v>59</v>
      </c>
      <c r="B64" s="7">
        <v>1225</v>
      </c>
      <c r="C64" s="7">
        <v>267</v>
      </c>
      <c r="D64" s="7">
        <f t="shared" si="1"/>
        <v>327075</v>
      </c>
      <c r="E64" s="7"/>
      <c r="F64" s="7"/>
      <c r="G64" s="7"/>
    </row>
    <row r="65" spans="1:64">
      <c r="B65" s="7"/>
      <c r="C65" s="7"/>
      <c r="D65" s="7"/>
      <c r="E65" s="7"/>
      <c r="F65" s="7"/>
      <c r="G65" s="7"/>
    </row>
    <row r="66" spans="1:64">
      <c r="A66" s="3" t="s">
        <v>60</v>
      </c>
      <c r="B66" s="4"/>
      <c r="C66" s="4"/>
      <c r="D66" s="4"/>
      <c r="E66" s="4">
        <f>SUM(D68:D70)</f>
        <v>13125</v>
      </c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</row>
    <row r="67" spans="1:64">
      <c r="A67" s="5"/>
      <c r="B67" s="6" t="s">
        <v>1</v>
      </c>
      <c r="C67" s="8"/>
      <c r="D67" s="8"/>
      <c r="E67" s="8"/>
      <c r="F67" s="8"/>
      <c r="G67" s="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</row>
    <row r="68" spans="1:64">
      <c r="A68" t="s">
        <v>10</v>
      </c>
      <c r="B68" s="7">
        <v>50000</v>
      </c>
      <c r="C68" s="7">
        <v>8</v>
      </c>
      <c r="D68" s="7">
        <f>B68/C68</f>
        <v>6250</v>
      </c>
      <c r="E68" s="7"/>
      <c r="F68" s="7"/>
      <c r="G68" s="7"/>
    </row>
    <row r="69" spans="1:64">
      <c r="A69" t="s">
        <v>11</v>
      </c>
      <c r="B69" s="7">
        <v>20000</v>
      </c>
      <c r="C69" s="7">
        <v>8</v>
      </c>
      <c r="D69" s="7">
        <f>B69/C69</f>
        <v>2500</v>
      </c>
      <c r="E69" s="7"/>
      <c r="F69" s="7"/>
      <c r="G69" s="7"/>
    </row>
    <row r="70" spans="1:64">
      <c r="A70" t="s">
        <v>51</v>
      </c>
      <c r="B70" s="7">
        <v>35000</v>
      </c>
      <c r="C70" s="7">
        <v>8</v>
      </c>
      <c r="D70" s="7">
        <f>B70/C70</f>
        <v>4375</v>
      </c>
      <c r="E70" s="7"/>
      <c r="F70" s="7"/>
      <c r="G70" s="7"/>
    </row>
    <row r="71" spans="1:64">
      <c r="A71" s="3" t="s">
        <v>121</v>
      </c>
      <c r="B71" s="4"/>
      <c r="C71" s="4"/>
      <c r="D71" s="4"/>
      <c r="E71" s="4">
        <f>SUM(B73:B89)</f>
        <v>2269000</v>
      </c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</row>
    <row r="72" spans="1:64">
      <c r="A72" s="5"/>
      <c r="B72" s="6" t="s">
        <v>1</v>
      </c>
      <c r="C72" s="8"/>
      <c r="D72" s="8"/>
      <c r="E72" s="8"/>
      <c r="F72" s="8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</row>
    <row r="73" spans="1:64">
      <c r="A73" t="s">
        <v>12</v>
      </c>
      <c r="B73" s="7">
        <v>4500</v>
      </c>
      <c r="C73" s="7"/>
      <c r="D73" s="7"/>
      <c r="E73" s="7"/>
      <c r="F73" s="7"/>
      <c r="G73" s="7"/>
    </row>
    <row r="74" spans="1:64">
      <c r="A74" t="s">
        <v>13</v>
      </c>
      <c r="B74" s="7">
        <v>8500</v>
      </c>
      <c r="C74" s="7"/>
      <c r="D74" s="7"/>
      <c r="E74" s="7"/>
      <c r="F74" s="7"/>
      <c r="G74" s="7"/>
    </row>
    <row r="75" spans="1:64">
      <c r="A75" t="s">
        <v>78</v>
      </c>
      <c r="B75" s="7">
        <v>7500</v>
      </c>
      <c r="C75" s="7"/>
      <c r="D75" s="7"/>
      <c r="E75" s="7"/>
      <c r="F75" s="7"/>
      <c r="G75" s="7"/>
    </row>
    <row r="76" spans="1:64">
      <c r="A76" t="s">
        <v>14</v>
      </c>
      <c r="B76" s="7">
        <v>6500</v>
      </c>
      <c r="C76" s="7"/>
      <c r="D76" s="7"/>
      <c r="E76" s="7"/>
      <c r="F76" s="7"/>
      <c r="G76" s="7"/>
    </row>
    <row r="77" spans="1:64">
      <c r="A77" t="s">
        <v>106</v>
      </c>
      <c r="B77" s="7">
        <v>65000</v>
      </c>
      <c r="C77" s="7"/>
      <c r="D77" s="7"/>
      <c r="E77" s="7"/>
      <c r="F77" s="7"/>
      <c r="G77" s="7"/>
    </row>
    <row r="78" spans="1:64">
      <c r="A78" t="s">
        <v>75</v>
      </c>
      <c r="B78" s="7">
        <v>445000</v>
      </c>
      <c r="C78" s="7"/>
      <c r="D78" s="7"/>
      <c r="E78" s="7"/>
      <c r="F78" s="7"/>
      <c r="G78" s="7"/>
    </row>
    <row r="79" spans="1:64">
      <c r="A79" t="s">
        <v>108</v>
      </c>
      <c r="B79" s="7">
        <v>1200000</v>
      </c>
      <c r="C79" s="7"/>
      <c r="D79" s="7"/>
      <c r="E79" s="7"/>
      <c r="F79" s="7"/>
      <c r="G79" s="7"/>
    </row>
    <row r="80" spans="1:64">
      <c r="A80" t="s">
        <v>125</v>
      </c>
      <c r="B80" s="7">
        <v>40000</v>
      </c>
      <c r="C80" s="7"/>
      <c r="D80" s="7"/>
      <c r="E80" s="7"/>
      <c r="F80" s="7"/>
      <c r="G80" s="7"/>
    </row>
    <row r="81" spans="1:64">
      <c r="A81" t="s">
        <v>15</v>
      </c>
      <c r="B81" s="7">
        <v>15000</v>
      </c>
      <c r="C81" s="7"/>
      <c r="D81" s="7"/>
      <c r="E81" s="7"/>
      <c r="F81" s="7"/>
      <c r="G81" s="7"/>
    </row>
    <row r="82" spans="1:64">
      <c r="A82" t="s">
        <v>114</v>
      </c>
      <c r="B82" s="7">
        <v>125000</v>
      </c>
      <c r="C82" s="7"/>
      <c r="D82" s="7"/>
      <c r="E82" s="7"/>
      <c r="F82" s="7"/>
      <c r="G82" s="7"/>
    </row>
    <row r="83" spans="1:64">
      <c r="A83" t="s">
        <v>120</v>
      </c>
      <c r="B83" s="7">
        <v>75000</v>
      </c>
      <c r="C83" s="7"/>
      <c r="D83" s="7"/>
      <c r="E83" s="7"/>
      <c r="F83" s="7"/>
      <c r="G83" s="7"/>
    </row>
    <row r="84" spans="1:64">
      <c r="A84" t="s">
        <v>119</v>
      </c>
      <c r="B84" s="7">
        <v>125000</v>
      </c>
      <c r="C84" s="7"/>
      <c r="D84" s="7"/>
      <c r="E84" s="7"/>
      <c r="F84" s="7"/>
      <c r="G84" s="7"/>
    </row>
    <row r="85" spans="1:64">
      <c r="A85" t="s">
        <v>77</v>
      </c>
      <c r="B85" s="7">
        <v>5000</v>
      </c>
      <c r="C85" s="7"/>
      <c r="D85" s="7"/>
      <c r="E85" s="7"/>
      <c r="F85" s="7"/>
      <c r="G85" s="7"/>
    </row>
    <row r="86" spans="1:64">
      <c r="A86" t="s">
        <v>16</v>
      </c>
      <c r="B86" s="7">
        <v>5000</v>
      </c>
      <c r="C86" s="7"/>
      <c r="D86" s="7"/>
      <c r="E86" s="7"/>
      <c r="F86" s="7"/>
      <c r="G86" s="7"/>
    </row>
    <row r="87" spans="1:64">
      <c r="A87" t="s">
        <v>61</v>
      </c>
      <c r="B87" s="7">
        <v>2000</v>
      </c>
      <c r="C87" s="7"/>
      <c r="D87" s="7"/>
      <c r="E87" s="7"/>
      <c r="F87" s="7"/>
      <c r="G87" s="7"/>
    </row>
    <row r="88" spans="1:64">
      <c r="A88" t="s">
        <v>122</v>
      </c>
      <c r="B88" s="7">
        <v>20000</v>
      </c>
      <c r="C88" s="7"/>
      <c r="D88" s="7"/>
      <c r="E88" s="7"/>
      <c r="F88" s="7"/>
      <c r="G88" s="7"/>
    </row>
    <row r="89" spans="1:64">
      <c r="A89" t="s">
        <v>72</v>
      </c>
      <c r="B89" s="7">
        <v>120000</v>
      </c>
      <c r="C89" s="7"/>
      <c r="D89" s="7"/>
      <c r="E89" s="7"/>
      <c r="F89" s="7"/>
      <c r="G89" s="7"/>
    </row>
    <row r="90" spans="1:64">
      <c r="A90" s="3" t="s">
        <v>94</v>
      </c>
      <c r="B90" s="4"/>
      <c r="C90" s="4"/>
      <c r="D90" s="4"/>
      <c r="E90" s="4">
        <f>SUM(D92:D104)</f>
        <v>678400</v>
      </c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</row>
    <row r="91" spans="1:64">
      <c r="A91" s="9"/>
      <c r="B91" s="6" t="s">
        <v>1</v>
      </c>
      <c r="C91" s="6" t="s">
        <v>17</v>
      </c>
      <c r="D91" s="6" t="s">
        <v>82</v>
      </c>
      <c r="E91" s="6"/>
      <c r="F91" s="6"/>
      <c r="G91" s="6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</row>
    <row r="92" spans="1:64">
      <c r="A92" s="19" t="s">
        <v>110</v>
      </c>
      <c r="B92" s="20">
        <v>12000000</v>
      </c>
      <c r="C92" s="9">
        <v>3.5</v>
      </c>
      <c r="D92" s="20">
        <f>B92*C92%</f>
        <v>420000.00000000006</v>
      </c>
      <c r="E92" s="6"/>
      <c r="F92" s="6"/>
      <c r="G92" s="6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</row>
    <row r="93" spans="1:64">
      <c r="A93" t="s">
        <v>127</v>
      </c>
      <c r="B93" s="20">
        <v>6800000</v>
      </c>
      <c r="C93" s="9">
        <v>3.8</v>
      </c>
      <c r="D93" s="20">
        <f t="shared" ref="D93:D104" si="2">B93*C93%</f>
        <v>258400</v>
      </c>
      <c r="E93" s="7"/>
      <c r="F93" s="7"/>
      <c r="G93" s="7"/>
    </row>
    <row r="94" spans="1:64">
      <c r="B94" s="20">
        <v>0</v>
      </c>
      <c r="C94" s="9">
        <v>1.81</v>
      </c>
      <c r="D94" s="20">
        <f>B94*C94%</f>
        <v>0</v>
      </c>
      <c r="E94" s="7"/>
      <c r="F94" s="7"/>
      <c r="G94" s="7"/>
    </row>
    <row r="95" spans="1:64">
      <c r="B95" s="20">
        <v>0</v>
      </c>
      <c r="C95" s="9">
        <v>5</v>
      </c>
      <c r="D95" s="20">
        <f t="shared" si="2"/>
        <v>0</v>
      </c>
      <c r="E95" s="7"/>
      <c r="F95" s="7"/>
      <c r="G95" s="7"/>
    </row>
    <row r="96" spans="1:64">
      <c r="B96" s="20">
        <v>0</v>
      </c>
      <c r="C96" s="9">
        <v>5</v>
      </c>
      <c r="D96" s="20">
        <f t="shared" si="2"/>
        <v>0</v>
      </c>
      <c r="E96" s="7"/>
      <c r="F96" s="7"/>
      <c r="G96" s="7"/>
    </row>
    <row r="97" spans="1:64">
      <c r="B97" s="20">
        <v>0</v>
      </c>
      <c r="C97" s="9">
        <v>5</v>
      </c>
      <c r="D97" s="20">
        <f t="shared" si="2"/>
        <v>0</v>
      </c>
      <c r="E97" s="7"/>
      <c r="F97" s="7"/>
      <c r="G97" s="7"/>
    </row>
    <row r="98" spans="1:64">
      <c r="B98" s="20">
        <v>0</v>
      </c>
      <c r="C98" s="9">
        <v>5</v>
      </c>
      <c r="D98" s="20">
        <f t="shared" si="2"/>
        <v>0</v>
      </c>
      <c r="E98" s="7"/>
      <c r="F98" s="7"/>
      <c r="G98" s="7"/>
    </row>
    <row r="99" spans="1:64">
      <c r="B99" s="20"/>
      <c r="C99" s="9"/>
      <c r="D99" s="20">
        <f t="shared" si="2"/>
        <v>0</v>
      </c>
      <c r="E99" s="7"/>
      <c r="F99" s="7"/>
      <c r="G99" s="7"/>
    </row>
    <row r="100" spans="1:64">
      <c r="B100" s="20"/>
      <c r="C100" s="9"/>
      <c r="D100" s="20">
        <f t="shared" si="2"/>
        <v>0</v>
      </c>
      <c r="E100" s="7"/>
      <c r="F100" s="7"/>
      <c r="G100" s="7"/>
    </row>
    <row r="101" spans="1:64">
      <c r="B101" s="20"/>
      <c r="C101" s="9"/>
      <c r="D101" s="20">
        <f t="shared" si="2"/>
        <v>0</v>
      </c>
      <c r="E101" s="7"/>
      <c r="F101" s="7"/>
      <c r="G101" s="7"/>
    </row>
    <row r="102" spans="1:64">
      <c r="B102" s="20"/>
      <c r="C102" s="9"/>
      <c r="D102" s="20">
        <f t="shared" si="2"/>
        <v>0</v>
      </c>
      <c r="E102" s="7"/>
      <c r="F102" s="7"/>
      <c r="G102" s="7"/>
    </row>
    <row r="103" spans="1:64">
      <c r="B103" s="20"/>
      <c r="C103" s="9"/>
      <c r="D103" s="20">
        <f t="shared" si="2"/>
        <v>0</v>
      </c>
      <c r="E103" s="7"/>
      <c r="F103" s="7"/>
      <c r="G103" s="7"/>
    </row>
    <row r="104" spans="1:64">
      <c r="A104" t="s">
        <v>93</v>
      </c>
      <c r="B104" s="20">
        <f>B92+B94</f>
        <v>12000000</v>
      </c>
      <c r="C104" s="9"/>
      <c r="D104" s="20">
        <f t="shared" si="2"/>
        <v>0</v>
      </c>
      <c r="E104" s="7"/>
      <c r="F104" s="7"/>
      <c r="G104" s="7"/>
    </row>
    <row r="105" spans="1:64">
      <c r="A105" t="s">
        <v>83</v>
      </c>
      <c r="B105" s="20">
        <f>SUM(B92:B98)</f>
        <v>18800000</v>
      </c>
      <c r="C105" s="9"/>
      <c r="D105" s="7"/>
      <c r="E105" s="7"/>
      <c r="F105" s="7"/>
      <c r="G105" s="7"/>
    </row>
    <row r="106" spans="1:64">
      <c r="B106" s="20"/>
      <c r="C106" s="9"/>
      <c r="D106" s="7"/>
      <c r="E106" s="7"/>
      <c r="F106" s="7"/>
      <c r="G106" s="7"/>
    </row>
    <row r="107" spans="1:64">
      <c r="A107" s="1" t="s">
        <v>80</v>
      </c>
      <c r="B107" s="2">
        <f>SUM(B109:B114)</f>
        <v>18800000</v>
      </c>
      <c r="C107" s="2"/>
      <c r="D107" s="2">
        <f>SUM(D109:D114)</f>
        <v>717170</v>
      </c>
      <c r="E107" s="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</row>
    <row r="108" spans="1:64">
      <c r="B108" s="6" t="s">
        <v>1</v>
      </c>
      <c r="C108" s="6" t="s">
        <v>81</v>
      </c>
      <c r="D108" s="7" t="s">
        <v>1</v>
      </c>
      <c r="E108" s="7"/>
      <c r="F108" s="7"/>
      <c r="G108" s="7"/>
    </row>
    <row r="109" spans="1:64">
      <c r="A109" t="s">
        <v>111</v>
      </c>
      <c r="B109" s="6">
        <v>5800000</v>
      </c>
      <c r="C109" s="6">
        <v>50</v>
      </c>
      <c r="D109" s="7">
        <v>116000</v>
      </c>
      <c r="E109" s="7"/>
      <c r="F109" s="7"/>
      <c r="G109" s="7"/>
    </row>
    <row r="110" spans="1:64">
      <c r="A110" t="s">
        <v>63</v>
      </c>
      <c r="B110" s="6">
        <v>968192</v>
      </c>
      <c r="C110" s="6">
        <v>8</v>
      </c>
      <c r="D110" s="7">
        <v>121024</v>
      </c>
      <c r="E110" s="7"/>
      <c r="F110" s="7"/>
      <c r="G110" s="7"/>
    </row>
    <row r="111" spans="1:64">
      <c r="A111" t="s">
        <v>112</v>
      </c>
      <c r="B111" s="6">
        <v>1000000</v>
      </c>
      <c r="C111" s="6">
        <v>30</v>
      </c>
      <c r="D111" s="7">
        <v>33500</v>
      </c>
      <c r="E111" s="7"/>
      <c r="F111" s="7"/>
      <c r="G111" s="7"/>
    </row>
    <row r="112" spans="1:64">
      <c r="A112" t="s">
        <v>113</v>
      </c>
      <c r="B112" s="6">
        <v>4231808</v>
      </c>
      <c r="C112" s="6">
        <v>20</v>
      </c>
      <c r="D112" s="7">
        <v>314846</v>
      </c>
      <c r="E112" s="7"/>
      <c r="F112" s="7"/>
      <c r="G112" s="7"/>
    </row>
    <row r="113" spans="1:64">
      <c r="A113" t="s">
        <v>126</v>
      </c>
      <c r="B113" s="6">
        <v>6800000</v>
      </c>
      <c r="C113" s="6">
        <v>30</v>
      </c>
      <c r="D113" s="7">
        <v>131800</v>
      </c>
      <c r="E113" s="7"/>
      <c r="F113" s="7"/>
      <c r="G113" s="7"/>
    </row>
    <row r="114" spans="1:64">
      <c r="B114" s="6"/>
      <c r="C114" s="6"/>
      <c r="D114" s="7"/>
      <c r="E114" s="7"/>
      <c r="F114" s="7"/>
      <c r="G114" s="7"/>
    </row>
    <row r="115" spans="1:64">
      <c r="A115" s="3" t="s">
        <v>18</v>
      </c>
      <c r="B115" s="4"/>
      <c r="C115" s="4"/>
      <c r="D115" s="4"/>
      <c r="E115" s="4">
        <f>SUM(B117:B139)</f>
        <v>17800000</v>
      </c>
      <c r="F115" s="4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</row>
    <row r="116" spans="1:64">
      <c r="A116" s="9"/>
      <c r="B116" s="6"/>
      <c r="C116" s="7"/>
      <c r="D116" s="7"/>
      <c r="E116" s="7"/>
      <c r="F116" s="7"/>
      <c r="G116" s="7"/>
    </row>
    <row r="117" spans="1:64">
      <c r="A117" t="s">
        <v>62</v>
      </c>
      <c r="B117" s="7">
        <v>5800000</v>
      </c>
      <c r="C117" s="7"/>
      <c r="D117" s="7"/>
      <c r="E117" s="7"/>
      <c r="F117" s="7"/>
      <c r="G117" s="7"/>
    </row>
    <row r="118" spans="1:64">
      <c r="A118" t="s">
        <v>63</v>
      </c>
      <c r="B118" s="7">
        <v>2500000</v>
      </c>
      <c r="C118" s="7"/>
      <c r="D118" s="7"/>
      <c r="E118" s="7"/>
      <c r="F118" s="7"/>
      <c r="G118" s="7"/>
    </row>
    <row r="119" spans="1:64">
      <c r="A119" t="s">
        <v>64</v>
      </c>
      <c r="B119" s="7">
        <v>2000000</v>
      </c>
      <c r="C119" s="7"/>
      <c r="D119" s="7"/>
      <c r="E119" s="7"/>
      <c r="F119" s="7"/>
      <c r="G119" s="7"/>
    </row>
    <row r="120" spans="1:64">
      <c r="A120" t="s">
        <v>109</v>
      </c>
      <c r="B120" s="7">
        <v>3000000</v>
      </c>
      <c r="C120" s="7"/>
      <c r="D120" s="7"/>
      <c r="E120" s="7"/>
      <c r="F120" s="7"/>
      <c r="G120" s="7"/>
    </row>
    <row r="121" spans="1:64">
      <c r="A121" t="s">
        <v>128</v>
      </c>
      <c r="B121" s="7">
        <v>4500000</v>
      </c>
      <c r="C121" s="7"/>
      <c r="D121" s="7"/>
      <c r="E121" s="7"/>
      <c r="F121" s="7"/>
      <c r="G121" s="7"/>
    </row>
    <row r="122" spans="1:64">
      <c r="B122" s="7"/>
      <c r="C122" s="7"/>
      <c r="D122" s="7"/>
      <c r="E122" s="7"/>
      <c r="F122" s="7"/>
      <c r="G122" s="7"/>
    </row>
    <row r="123" spans="1:64">
      <c r="B123" s="7"/>
      <c r="C123" s="7"/>
      <c r="D123" s="7"/>
      <c r="E123" s="7"/>
      <c r="F123" s="7"/>
      <c r="G123" s="7"/>
    </row>
    <row r="124" spans="1:64">
      <c r="B124" s="7"/>
      <c r="C124" s="7"/>
      <c r="D124" s="7"/>
      <c r="E124" s="7"/>
      <c r="F124" s="7"/>
      <c r="G124" s="7"/>
    </row>
    <row r="125" spans="1:64">
      <c r="B125" s="7"/>
      <c r="C125" s="7"/>
      <c r="D125" s="7"/>
      <c r="E125" s="7"/>
      <c r="F125" s="7"/>
      <c r="G125" s="7"/>
    </row>
    <row r="126" spans="1:64">
      <c r="B126" s="7"/>
      <c r="C126" s="7"/>
      <c r="D126" s="7"/>
      <c r="E126" s="7"/>
      <c r="F126" s="7"/>
      <c r="G126" s="7"/>
    </row>
    <row r="127" spans="1:64">
      <c r="B127" s="7"/>
      <c r="C127" s="7"/>
      <c r="D127" s="7"/>
      <c r="E127" s="7"/>
      <c r="F127" s="7"/>
      <c r="G127" s="7"/>
    </row>
    <row r="128" spans="1:64">
      <c r="B128" s="7"/>
      <c r="C128" s="7"/>
      <c r="D128" s="7"/>
      <c r="E128" s="7"/>
      <c r="F128" s="7"/>
      <c r="G128" s="7"/>
    </row>
    <row r="129" spans="1:64">
      <c r="B129" s="7"/>
      <c r="C129" s="7"/>
      <c r="D129" s="7"/>
      <c r="E129" s="7"/>
      <c r="F129" s="7"/>
      <c r="G129" s="7"/>
    </row>
    <row r="130" spans="1:64">
      <c r="B130" s="7"/>
      <c r="C130" s="7"/>
      <c r="D130" s="7"/>
      <c r="E130" s="7"/>
      <c r="F130" s="7"/>
      <c r="G130" s="7"/>
    </row>
    <row r="131" spans="1:64">
      <c r="A131" s="3" t="s">
        <v>19</v>
      </c>
      <c r="B131" s="4"/>
      <c r="C131" s="4"/>
      <c r="D131" s="4"/>
      <c r="E131" s="4">
        <f>SUM(B133:B139)</f>
        <v>0</v>
      </c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</row>
    <row r="132" spans="1:64">
      <c r="A132" s="5"/>
      <c r="B132" s="8" t="s">
        <v>1</v>
      </c>
      <c r="C132" s="8"/>
      <c r="D132" s="8"/>
      <c r="E132" s="8"/>
      <c r="F132" s="8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</row>
    <row r="133" spans="1:64">
      <c r="A133" t="s">
        <v>79</v>
      </c>
      <c r="B133" s="7">
        <v>0</v>
      </c>
      <c r="C133" s="7"/>
      <c r="D133" s="7"/>
      <c r="E133" s="7"/>
      <c r="F133" s="7"/>
      <c r="G133" s="7"/>
    </row>
    <row r="134" spans="1:64">
      <c r="B134" s="7"/>
      <c r="C134" s="7"/>
      <c r="D134" s="7"/>
      <c r="E134" s="7"/>
      <c r="F134" s="7"/>
      <c r="G134" s="7"/>
    </row>
    <row r="135" spans="1:64">
      <c r="B135" s="7"/>
      <c r="C135" s="7"/>
      <c r="D135" s="7"/>
      <c r="E135" s="7"/>
      <c r="F135" s="7"/>
      <c r="G135" s="7"/>
    </row>
    <row r="136" spans="1:64">
      <c r="B136" s="7"/>
      <c r="C136" s="7"/>
      <c r="D136" s="7"/>
      <c r="E136" s="7"/>
      <c r="F136" s="7"/>
      <c r="G136" s="7"/>
    </row>
    <row r="137" spans="1:64">
      <c r="B137" s="7"/>
      <c r="C137" s="7"/>
      <c r="D137" s="7"/>
      <c r="E137" s="7"/>
      <c r="F137" s="7"/>
      <c r="G137" s="7"/>
    </row>
    <row r="138" spans="1:64">
      <c r="B138" s="7"/>
      <c r="C138" s="7"/>
      <c r="D138" s="7"/>
      <c r="E138" s="7"/>
      <c r="F138" s="7"/>
      <c r="G138" s="7"/>
    </row>
    <row r="139" spans="1:64">
      <c r="B139" s="7"/>
      <c r="C139" s="7"/>
      <c r="D139" s="7"/>
      <c r="E139" s="7"/>
      <c r="F139" s="7"/>
      <c r="G139" s="7"/>
    </row>
    <row r="140" spans="1:64">
      <c r="B140" s="7"/>
      <c r="C140" s="7"/>
      <c r="D140" s="7"/>
      <c r="E140" s="7"/>
      <c r="F140" s="7"/>
      <c r="G140" s="7"/>
    </row>
    <row r="141" spans="1:64">
      <c r="A141" s="3" t="s">
        <v>20</v>
      </c>
      <c r="B141" s="4"/>
      <c r="C141" s="4"/>
      <c r="D141" s="4"/>
      <c r="E141" s="4">
        <f>SUM(B142:B155)</f>
        <v>18800000</v>
      </c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</row>
    <row r="142" spans="1:64">
      <c r="B142" s="7" t="s">
        <v>1</v>
      </c>
      <c r="C142" s="7"/>
      <c r="D142" s="7"/>
      <c r="E142" s="7"/>
      <c r="F142" s="7"/>
      <c r="G142" s="7"/>
    </row>
    <row r="143" spans="1:64">
      <c r="A143" t="s">
        <v>65</v>
      </c>
      <c r="B143" s="7">
        <f>B105-B133</f>
        <v>18800000</v>
      </c>
      <c r="C143" s="7"/>
      <c r="D143" s="7"/>
      <c r="E143" s="7"/>
      <c r="F143" s="7"/>
      <c r="G143" s="7"/>
    </row>
    <row r="144" spans="1:64">
      <c r="B144" s="7"/>
      <c r="C144" s="7"/>
      <c r="D144" s="7"/>
      <c r="E144" s="7"/>
      <c r="F144" s="7"/>
      <c r="G144" s="7"/>
    </row>
    <row r="145" spans="1:64">
      <c r="B145" s="7"/>
      <c r="C145" s="7"/>
      <c r="D145" s="7"/>
      <c r="E145" s="7"/>
      <c r="F145" s="7"/>
      <c r="G145" s="7"/>
    </row>
    <row r="146" spans="1:64">
      <c r="B146" s="7"/>
      <c r="C146" s="7"/>
      <c r="D146" s="7"/>
      <c r="E146" s="7"/>
      <c r="F146" s="7"/>
      <c r="G146" s="7"/>
    </row>
    <row r="147" spans="1:64">
      <c r="B147" s="7"/>
      <c r="C147" s="7"/>
      <c r="D147" s="7"/>
      <c r="E147" s="7"/>
      <c r="F147" s="7"/>
      <c r="G147" s="7"/>
    </row>
    <row r="148" spans="1:64">
      <c r="B148" s="7"/>
      <c r="C148" s="7"/>
      <c r="D148" s="7"/>
      <c r="E148" s="7"/>
      <c r="F148" s="7"/>
      <c r="G148" s="7"/>
    </row>
    <row r="149" spans="1:64">
      <c r="B149" s="7"/>
      <c r="C149" s="7"/>
      <c r="D149" s="7"/>
      <c r="E149" s="7"/>
      <c r="F149" s="7"/>
      <c r="G149" s="7"/>
    </row>
    <row r="150" spans="1:64">
      <c r="B150" s="7"/>
      <c r="C150" s="7"/>
      <c r="D150" s="7"/>
      <c r="E150" s="7"/>
      <c r="F150" s="7"/>
      <c r="G150" s="7"/>
    </row>
    <row r="151" spans="1:64">
      <c r="B151" s="7"/>
      <c r="C151" s="7"/>
      <c r="D151" s="7"/>
      <c r="E151" s="7"/>
      <c r="F151" s="7"/>
      <c r="G151" s="7"/>
    </row>
    <row r="152" spans="1:64">
      <c r="B152" s="7"/>
      <c r="C152" s="7"/>
      <c r="D152" s="7"/>
      <c r="E152" s="7"/>
      <c r="F152" s="7"/>
      <c r="G152" s="7"/>
    </row>
    <row r="153" spans="1:64">
      <c r="B153" s="7"/>
      <c r="C153" s="7"/>
      <c r="D153" s="7"/>
      <c r="E153" s="7"/>
      <c r="F153" s="7"/>
      <c r="G153" s="7"/>
    </row>
    <row r="154" spans="1:64">
      <c r="B154" s="7"/>
      <c r="C154" s="7"/>
      <c r="D154" s="7"/>
      <c r="E154" s="7"/>
      <c r="F154" s="7"/>
      <c r="G154" s="7"/>
    </row>
    <row r="155" spans="1:64">
      <c r="B155" s="7"/>
      <c r="C155" s="7"/>
      <c r="D155" s="7"/>
      <c r="E155" s="7"/>
      <c r="F155" s="7"/>
      <c r="G155" s="7"/>
    </row>
    <row r="156" spans="1:64">
      <c r="B156" s="7"/>
      <c r="C156" s="7"/>
      <c r="D156" s="7"/>
      <c r="E156" s="7"/>
      <c r="F156" s="7"/>
      <c r="G156" s="7"/>
    </row>
    <row r="157" spans="1:64">
      <c r="A157" s="3" t="s">
        <v>21</v>
      </c>
      <c r="B157" s="4">
        <f>E115</f>
        <v>17800000</v>
      </c>
      <c r="C157" s="4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</row>
    <row r="158" spans="1:64">
      <c r="A158" s="3" t="s">
        <v>22</v>
      </c>
      <c r="B158" s="4">
        <f>E131+E141</f>
        <v>18800000</v>
      </c>
      <c r="C158" s="4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</row>
    <row r="159" spans="1:64">
      <c r="B159" s="7"/>
      <c r="C159" s="7"/>
      <c r="D159" s="7"/>
      <c r="E159" s="7"/>
      <c r="F159" s="7"/>
      <c r="G159" s="7"/>
    </row>
    <row r="160" spans="1:64">
      <c r="B160" s="7"/>
      <c r="C160" s="7"/>
      <c r="D160" s="7"/>
      <c r="E160" s="7"/>
      <c r="F160" s="7"/>
      <c r="G160" s="7"/>
    </row>
    <row r="161" spans="1:64">
      <c r="A161" s="10" t="s">
        <v>23</v>
      </c>
      <c r="B161" s="7"/>
      <c r="C161" s="7"/>
      <c r="D161" s="7"/>
      <c r="E161" s="7"/>
      <c r="F161" s="7"/>
      <c r="G161" s="7"/>
    </row>
    <row r="162" spans="1:64">
      <c r="A162" s="5"/>
      <c r="B162" s="6" t="s">
        <v>1</v>
      </c>
      <c r="C162" s="7"/>
      <c r="D162" s="7"/>
      <c r="E162" s="7"/>
      <c r="F162" s="7"/>
      <c r="G162" s="7"/>
    </row>
    <row r="163" spans="1:64">
      <c r="A163" t="s">
        <v>0</v>
      </c>
      <c r="B163" s="7">
        <f>E3</f>
        <v>9191048.175999999</v>
      </c>
      <c r="C163" s="7"/>
      <c r="D163" s="7"/>
      <c r="E163" s="7"/>
      <c r="F163" s="7"/>
      <c r="G163" s="7"/>
    </row>
    <row r="164" spans="1:64">
      <c r="A164" t="s">
        <v>69</v>
      </c>
      <c r="B164" s="7">
        <f>E43</f>
        <v>1313965</v>
      </c>
      <c r="C164" s="7"/>
      <c r="D164" s="7"/>
      <c r="E164" s="7"/>
      <c r="F164" s="7"/>
      <c r="G164" s="7"/>
    </row>
    <row r="165" spans="1:64">
      <c r="A165" t="s">
        <v>68</v>
      </c>
      <c r="B165" s="7">
        <f>E51</f>
        <v>2953956</v>
      </c>
      <c r="C165" s="7"/>
      <c r="D165" s="7"/>
      <c r="E165" s="7"/>
      <c r="F165" s="7"/>
      <c r="G165" s="7"/>
    </row>
    <row r="166" spans="1:64">
      <c r="A166" t="s">
        <v>71</v>
      </c>
      <c r="B166" s="7">
        <f>E66</f>
        <v>13125</v>
      </c>
      <c r="C166" s="7"/>
      <c r="D166" s="7"/>
      <c r="E166" s="7"/>
      <c r="F166" s="7"/>
      <c r="G166" s="7"/>
    </row>
    <row r="167" spans="1:64">
      <c r="A167" t="s">
        <v>70</v>
      </c>
      <c r="B167" s="7">
        <f>E90</f>
        <v>678400</v>
      </c>
      <c r="C167" s="7"/>
      <c r="D167" s="7"/>
      <c r="E167" s="7"/>
      <c r="F167" s="7"/>
      <c r="G167" s="7"/>
    </row>
    <row r="168" spans="1:64">
      <c r="A168" t="s">
        <v>67</v>
      </c>
      <c r="B168" s="7">
        <f>E22</f>
        <v>1285400</v>
      </c>
      <c r="C168" s="7"/>
      <c r="D168" s="7"/>
      <c r="E168" s="7"/>
      <c r="F168" s="7"/>
      <c r="G168" s="7"/>
    </row>
    <row r="169" spans="1:64">
      <c r="A169" t="s">
        <v>66</v>
      </c>
      <c r="B169" s="7">
        <f>E71</f>
        <v>2269000</v>
      </c>
      <c r="C169" s="7"/>
      <c r="D169" s="7"/>
      <c r="E169" s="7"/>
      <c r="F169" s="7"/>
      <c r="G169" s="7"/>
    </row>
    <row r="170" spans="1:64">
      <c r="A170" s="5" t="s">
        <v>24</v>
      </c>
      <c r="B170" s="11">
        <f>B163-B164-B165-B166-B167-B168-B169</f>
        <v>677202.17599999905</v>
      </c>
      <c r="C170" s="8" t="s">
        <v>4</v>
      </c>
      <c r="D170" s="8" t="s">
        <v>4</v>
      </c>
      <c r="E170" s="8"/>
      <c r="F170" s="8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</row>
    <row r="171" spans="1:64">
      <c r="A171" s="5"/>
      <c r="B171" s="11"/>
      <c r="C171" s="8"/>
      <c r="D171" s="8"/>
      <c r="E171" s="8"/>
      <c r="F171" s="8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</row>
    <row r="172" spans="1:64">
      <c r="A172" s="10" t="s">
        <v>25</v>
      </c>
      <c r="B172" s="11">
        <f>B163-B165-B168-B164-B169</f>
        <v>1368727.175999999</v>
      </c>
      <c r="C172" s="8"/>
      <c r="D172" s="8"/>
      <c r="E172" s="8"/>
      <c r="F172" s="8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</row>
    <row r="173" spans="1:64">
      <c r="B173" s="7"/>
      <c r="C173" s="7"/>
      <c r="D173" s="7"/>
      <c r="E173" s="7"/>
      <c r="F173" s="7"/>
      <c r="G173" s="7"/>
    </row>
    <row r="174" spans="1:64">
      <c r="A174" s="10" t="s">
        <v>26</v>
      </c>
      <c r="B174" s="7"/>
      <c r="C174" s="7"/>
      <c r="D174" s="7"/>
      <c r="E174" s="7"/>
      <c r="F174" s="7"/>
      <c r="G174" s="7"/>
    </row>
    <row r="175" spans="1:64">
      <c r="A175" s="12">
        <f>(B170/E3)*100</f>
        <v>7.3680625216211366</v>
      </c>
      <c r="B175" s="7" t="s">
        <v>4</v>
      </c>
      <c r="C175" s="7"/>
      <c r="D175" s="7"/>
      <c r="E175" s="7"/>
      <c r="F175" s="7"/>
      <c r="G175" s="7"/>
    </row>
    <row r="176" spans="1:64">
      <c r="B176" s="7"/>
      <c r="C176" s="7"/>
      <c r="D176" s="7"/>
      <c r="E176" s="7"/>
      <c r="F176" s="7"/>
      <c r="G176" s="7"/>
    </row>
    <row r="177" spans="1:7">
      <c r="B177" s="7"/>
      <c r="C177" s="7"/>
      <c r="D177" s="7"/>
      <c r="E177" s="7"/>
      <c r="F177" s="7"/>
      <c r="G177" s="7"/>
    </row>
    <row r="178" spans="1:7">
      <c r="A178" s="10" t="s">
        <v>27</v>
      </c>
      <c r="B178" s="22"/>
      <c r="C178" s="7"/>
      <c r="D178" s="7"/>
      <c r="E178" s="7"/>
      <c r="F178" s="7"/>
      <c r="G178" s="7"/>
    </row>
    <row r="179" spans="1:7">
      <c r="A179" s="21">
        <f>E141</f>
        <v>18800000</v>
      </c>
    </row>
    <row r="181" spans="1:7">
      <c r="A181" s="10" t="s">
        <v>28</v>
      </c>
    </row>
    <row r="182" spans="1:7">
      <c r="A182" s="12">
        <f>(B170/B158)*100</f>
        <v>3.6021392340425478</v>
      </c>
    </row>
    <row r="184" spans="1:7">
      <c r="A184" s="10" t="s">
        <v>29</v>
      </c>
    </row>
    <row r="185" spans="1:7">
      <c r="A185" s="23">
        <f>D107</f>
        <v>717170</v>
      </c>
      <c r="B185" s="13" t="s">
        <v>4</v>
      </c>
      <c r="C185" t="s">
        <v>4</v>
      </c>
      <c r="D185" t="s">
        <v>4</v>
      </c>
    </row>
    <row r="187" spans="1:7">
      <c r="A187" s="14" t="s">
        <v>115</v>
      </c>
    </row>
    <row r="188" spans="1:7">
      <c r="A188" s="27">
        <f>B172</f>
        <v>1368727.175999999</v>
      </c>
    </row>
    <row r="190" spans="1:7">
      <c r="A190" s="10" t="s">
        <v>73</v>
      </c>
    </row>
    <row r="191" spans="1:7" ht="16.8">
      <c r="A191" s="27">
        <f>A188*20/100</f>
        <v>273745.43519999983</v>
      </c>
      <c r="B191" s="18"/>
      <c r="C191" s="17"/>
      <c r="D191" s="17"/>
    </row>
    <row r="192" spans="1:7" ht="17.399999999999999">
      <c r="A192" s="16" t="s">
        <v>124</v>
      </c>
    </row>
    <row r="193" spans="1:1">
      <c r="A193" s="26">
        <f>A188-A191-A185</f>
        <v>377811.74079999933</v>
      </c>
    </row>
  </sheetData>
  <pageMargins left="0" right="0" top="0.39370078740157477" bottom="0.39370078740157477" header="0" footer="0"/>
  <pageSetup paperSize="9" scale="95" fitToWidth="0" fitToHeight="0" pageOrder="overThenDown" orientation="portrait" useFirstPageNumber="1" r:id="rId1"/>
  <headerFooter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Marlies Willer</dc:creator>
  <cp:lastModifiedBy>Marlies Willer</cp:lastModifiedBy>
  <cp:revision>10</cp:revision>
  <cp:lastPrinted>2023-08-05T11:14:59Z</cp:lastPrinted>
  <dcterms:created xsi:type="dcterms:W3CDTF">2019-11-10T17:39:13Z</dcterms:created>
  <dcterms:modified xsi:type="dcterms:W3CDTF">2024-06-18T08:26:53Z</dcterms:modified>
</cp:coreProperties>
</file>