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9040" windowHeight="15840" tabRatio="500"/>
  </bookViews>
  <sheets>
    <sheet name="Pachtverträge" sheetId="1" r:id="rId1"/>
  </sheets>
  <definedNames>
    <definedName name="_xlnm._FilterDatabase" localSheetId="0" hidden="1">Pachtverträge!$A$1:$I$71</definedName>
    <definedName name="_xlnm.Print_Area" localSheetId="0">Pachtverträge!$A$1:$I$81</definedName>
    <definedName name="Print_Titles_0_0" localSheetId="0">Pachtverträge!$A:$B,Pachtverträge!$1:$1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32" i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l="1"/>
  <c r="C75"/>
  <c r="J17"/>
  <c r="J16"/>
  <c r="J29"/>
  <c r="G29"/>
  <c r="J26"/>
  <c r="G26"/>
  <c r="C79"/>
  <c r="C77"/>
  <c r="J59"/>
  <c r="J60"/>
  <c r="J61"/>
  <c r="G60"/>
  <c r="G61"/>
  <c r="J57"/>
  <c r="J58"/>
  <c r="G57"/>
  <c r="G58"/>
  <c r="G59"/>
  <c r="J51"/>
  <c r="J52"/>
  <c r="J53"/>
  <c r="J54"/>
  <c r="J55"/>
  <c r="G51"/>
  <c r="G52"/>
  <c r="G53"/>
  <c r="G54"/>
  <c r="G55"/>
  <c r="J46"/>
  <c r="J47"/>
  <c r="J48"/>
  <c r="J49"/>
  <c r="J50"/>
  <c r="J56"/>
  <c r="G47"/>
  <c r="G48"/>
  <c r="G49"/>
  <c r="G50"/>
  <c r="G56"/>
  <c r="J42"/>
  <c r="J43"/>
  <c r="J44"/>
  <c r="J45"/>
  <c r="G42"/>
  <c r="G43"/>
  <c r="G44"/>
  <c r="G45"/>
  <c r="G46"/>
  <c r="J20"/>
  <c r="J19"/>
  <c r="J18"/>
  <c r="G2"/>
  <c r="G20"/>
  <c r="G19"/>
  <c r="G18"/>
  <c r="A3"/>
  <c r="A4" s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J67" l="1"/>
  <c r="J66"/>
  <c r="G67"/>
  <c r="G66"/>
  <c r="J64"/>
  <c r="G64"/>
  <c r="F69"/>
  <c r="E69"/>
  <c r="H69" l="1"/>
  <c r="D69"/>
  <c r="D73" s="1"/>
  <c r="C69"/>
  <c r="C73" s="1"/>
  <c r="G68"/>
  <c r="G65"/>
  <c r="G63"/>
  <c r="G62"/>
  <c r="G41"/>
  <c r="G40"/>
  <c r="G39"/>
  <c r="G38"/>
  <c r="G37"/>
  <c r="G36"/>
  <c r="G35"/>
  <c r="G34"/>
  <c r="G33"/>
  <c r="G32"/>
  <c r="G31"/>
  <c r="G30"/>
  <c r="G28"/>
  <c r="G27"/>
  <c r="G25"/>
  <c r="G24"/>
  <c r="G23"/>
  <c r="G22"/>
  <c r="G21"/>
  <c r="G15"/>
  <c r="G14"/>
  <c r="G13"/>
  <c r="G12"/>
  <c r="G11"/>
  <c r="G10"/>
  <c r="G9"/>
  <c r="G8"/>
  <c r="G7"/>
  <c r="G6"/>
  <c r="G5"/>
  <c r="G4"/>
  <c r="G3"/>
  <c r="J68"/>
  <c r="J65"/>
  <c r="J63"/>
  <c r="J62"/>
  <c r="J41"/>
  <c r="J40"/>
  <c r="J39"/>
  <c r="J38"/>
  <c r="J37"/>
  <c r="J36"/>
  <c r="J35"/>
  <c r="J34"/>
  <c r="J33"/>
  <c r="J32"/>
  <c r="J31"/>
  <c r="J30"/>
  <c r="J28"/>
  <c r="J27"/>
  <c r="J25"/>
  <c r="J24"/>
  <c r="J23"/>
  <c r="J22"/>
  <c r="J21"/>
  <c r="J15"/>
  <c r="J14"/>
  <c r="J13"/>
  <c r="J12"/>
  <c r="J11"/>
  <c r="J10"/>
  <c r="J9"/>
  <c r="J8"/>
  <c r="J7"/>
  <c r="J6"/>
  <c r="J5"/>
  <c r="F73"/>
  <c r="E73"/>
  <c r="J4"/>
  <c r="J3"/>
  <c r="J2"/>
  <c r="J69" l="1"/>
  <c r="I69" s="1"/>
  <c r="G69"/>
</calcChain>
</file>

<file path=xl/comments1.xml><?xml version="1.0" encoding="utf-8"?>
<comments xmlns="http://schemas.openxmlformats.org/spreadsheetml/2006/main">
  <authors>
    <author/>
  </authors>
  <commentList>
    <comment ref="H70" authorId="0">
      <text>
        <r>
          <rPr>
            <b/>
            <sz val="9"/>
            <color rgb="FF000000"/>
            <rFont val="Tahoma"/>
            <family val="2"/>
            <charset val="1"/>
          </rPr>
          <t xml:space="preserve">Peter Kleingarn:
</t>
        </r>
        <r>
          <rPr>
            <sz val="9"/>
            <color rgb="FF000000"/>
            <rFont val="Tahoma"/>
            <family val="2"/>
            <charset val="1"/>
          </rPr>
          <t>Pacht lt. Abschluß 2013</t>
        </r>
      </text>
    </comment>
  </commentList>
</comments>
</file>

<file path=xl/sharedStrings.xml><?xml version="1.0" encoding="utf-8"?>
<sst xmlns="http://schemas.openxmlformats.org/spreadsheetml/2006/main" count="144" uniqueCount="114">
  <si>
    <t>lfd.Nr.</t>
  </si>
  <si>
    <t>Verpächter</t>
  </si>
  <si>
    <t>ha gesamt</t>
  </si>
  <si>
    <t>Acker</t>
  </si>
  <si>
    <t>Grünland</t>
  </si>
  <si>
    <t>SF</t>
  </si>
  <si>
    <t>Pacht €/ha</t>
  </si>
  <si>
    <t>Pacht €</t>
  </si>
  <si>
    <t>Restlaufzeit</t>
  </si>
  <si>
    <t>ZwSumme</t>
  </si>
  <si>
    <t>Kirche</t>
  </si>
  <si>
    <t>Landgesellschaft</t>
  </si>
  <si>
    <t>Eigentum</t>
  </si>
  <si>
    <t>Fläche gesamt</t>
  </si>
  <si>
    <t xml:space="preserve">Pacht von Privat </t>
  </si>
  <si>
    <t>Pacht Kirche</t>
  </si>
  <si>
    <t>Pacht Landgesellschaft</t>
  </si>
  <si>
    <t>Agrarproduktion Niendorf</t>
  </si>
  <si>
    <t>Amt Mecklenb.Schweiz</t>
  </si>
  <si>
    <t>Gemeinde Lelkendorf</t>
  </si>
  <si>
    <t>Annuss GmbH</t>
  </si>
  <si>
    <t>Dr.Hermut Annuss</t>
  </si>
  <si>
    <t>Dr.Irene Böhm</t>
  </si>
  <si>
    <t>Anneliese Buchholz</t>
  </si>
  <si>
    <t>EG Burmeister</t>
  </si>
  <si>
    <t>Ralf During</t>
  </si>
  <si>
    <t>verstorben, Erbe unbekannt</t>
  </si>
  <si>
    <t>Rosemarie Düring</t>
  </si>
  <si>
    <t>Beatrix Eggers</t>
  </si>
  <si>
    <t>Peter Englert/Dirk v. Pidoll</t>
  </si>
  <si>
    <t>Ute u.Lothar Fiedler</t>
  </si>
  <si>
    <t>Monika u.Horst Friedenberger</t>
  </si>
  <si>
    <t>Andrea Gnodtke</t>
  </si>
  <si>
    <t>Siegfried Gnodtke</t>
  </si>
  <si>
    <t>Matthias Hantel</t>
  </si>
  <si>
    <t>EG R.Holm</t>
  </si>
  <si>
    <t>EG Iwe</t>
  </si>
  <si>
    <t>Rosita u.Jörg Kiesow</t>
  </si>
  <si>
    <t>Sandra u. Steffen Klönhammer</t>
  </si>
  <si>
    <t>Reimund Kohls</t>
  </si>
  <si>
    <t>Nutzung ohne PV/ EG Köhne</t>
  </si>
  <si>
    <t>EG Konitzky</t>
  </si>
  <si>
    <t>Rita u. Hans-Jürgen Ladwig</t>
  </si>
  <si>
    <t>Land MV/StALUMM</t>
  </si>
  <si>
    <t>unbefristet /Brücke u.Funktionalfläche</t>
  </si>
  <si>
    <t>Landhof Alt Sührkow GmbH</t>
  </si>
  <si>
    <t>Heide u.Hartmut Lange</t>
  </si>
  <si>
    <t>Marita Markgraf</t>
  </si>
  <si>
    <t>Markower Agrargesellschaft mbH</t>
  </si>
  <si>
    <t>Kirsten Matthey</t>
  </si>
  <si>
    <t>Horst Mehling</t>
  </si>
  <si>
    <t>EG O.Nicklas vertr.durch Jörg Meyer</t>
  </si>
  <si>
    <t>Hartmut Milkereit</t>
  </si>
  <si>
    <t>jährl.Verlängerung mdl.abgesprochen</t>
  </si>
  <si>
    <t>Dieter Nawotke</t>
  </si>
  <si>
    <t>Paula u.Jürgen Rachow</t>
  </si>
  <si>
    <t>Christoph Renschen</t>
  </si>
  <si>
    <t>Christoph Renschen / Erbe Th.Renschen</t>
  </si>
  <si>
    <t>Dörte Rickert</t>
  </si>
  <si>
    <t>Elfriede Röder</t>
  </si>
  <si>
    <t>Fritz-Leon Sauer</t>
  </si>
  <si>
    <t>Sieglinde Schlund</t>
  </si>
  <si>
    <t>Detlef Schmidt</t>
  </si>
  <si>
    <t>EG Schmidke nach Hugo Schmidke</t>
  </si>
  <si>
    <t>EG Schmidke nach Martin Schultz</t>
  </si>
  <si>
    <t>Katrin Schröder</t>
  </si>
  <si>
    <t>Otto Schwarzenbeck</t>
  </si>
  <si>
    <t>Bernd Volkmann</t>
  </si>
  <si>
    <t>Helmut Voß</t>
  </si>
  <si>
    <t>Ulrich von Wallersbrunn</t>
  </si>
  <si>
    <t>Uta u.Udo Wasmund</t>
  </si>
  <si>
    <t>Ursula Wiertel</t>
  </si>
  <si>
    <t>Erika Witt als Erbe Günter Witt</t>
  </si>
  <si>
    <t>EG nach I.Zarmstorff</t>
  </si>
  <si>
    <t>angeschrieben wg.Pacht/Kauf</t>
  </si>
  <si>
    <t>Irene u. Torsten Zingelmann</t>
  </si>
  <si>
    <t>Ackerland</t>
  </si>
  <si>
    <t>Sonstiges</t>
  </si>
  <si>
    <t>Pacht (€)</t>
  </si>
  <si>
    <t>ha</t>
  </si>
  <si>
    <t>Verpachtung von Eigentumsflächen</t>
  </si>
  <si>
    <t>Unterverpachtung</t>
  </si>
  <si>
    <t>(Annuss GmbH)</t>
  </si>
  <si>
    <t>(Gnodke, A.)</t>
  </si>
  <si>
    <t>von</t>
  </si>
  <si>
    <t>(Burmeister)</t>
  </si>
  <si>
    <t>(Schmidke/Schulz)</t>
  </si>
  <si>
    <t>(Schwarzenbeck, O.)</t>
  </si>
  <si>
    <t>Ökohof Liescher</t>
  </si>
  <si>
    <t>Waldgut Hardtland</t>
  </si>
  <si>
    <t>div</t>
  </si>
  <si>
    <t>(Voß)</t>
  </si>
  <si>
    <t>(v.Wallersbrunn)</t>
  </si>
  <si>
    <t>Flächentausch</t>
  </si>
  <si>
    <t>Hof Hardtland</t>
  </si>
  <si>
    <t>(Stadt Teterow)</t>
  </si>
  <si>
    <t>Nutzungsverträge</t>
  </si>
  <si>
    <t>Fischereipachtvertrag</t>
  </si>
  <si>
    <t xml:space="preserve">unbest.Zeit </t>
  </si>
  <si>
    <t>Daniela Hähnel</t>
  </si>
  <si>
    <t>Weidefläche f. Pferde in Hohen Mistorf</t>
  </si>
  <si>
    <t xml:space="preserve">Weidefläche f. Pferde in Bukow </t>
  </si>
  <si>
    <t>Wiebke Filinski</t>
  </si>
  <si>
    <t>mit Agrarproduktion Niendorf</t>
  </si>
  <si>
    <t>weggetauscht</t>
  </si>
  <si>
    <t>angetauscht</t>
  </si>
  <si>
    <t xml:space="preserve">Diff.3,6661 ha AL dafür Pachtvertrag </t>
  </si>
  <si>
    <t>LWB Schulte-Ebbert</t>
  </si>
  <si>
    <t>W.Knoll</t>
  </si>
  <si>
    <t>EG Kunisch/Schmidtke</t>
  </si>
  <si>
    <t>Gerd Winterfeld</t>
  </si>
  <si>
    <t>Lothar Fiedler</t>
  </si>
  <si>
    <t>Heinz Fiedler</t>
  </si>
  <si>
    <t>ab 10/24 neu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</si>
</sst>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0.0000"/>
  </numFmts>
  <fonts count="12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9C57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4"/>
      <name val="Calibri"/>
      <family val="2"/>
      <charset val="1"/>
    </font>
    <font>
      <b/>
      <sz val="14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  <font>
      <b/>
      <sz val="14"/>
      <color rgb="FF000000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B9C"/>
        <bgColor rgb="FFFCD5B5"/>
      </patternFill>
    </fill>
    <fill>
      <patternFill patternType="solid">
        <fgColor rgb="FFFFFF00"/>
        <bgColor rgb="FFFFFF00"/>
      </patternFill>
    </fill>
    <fill>
      <patternFill patternType="solid">
        <fgColor rgb="FFF79646"/>
        <bgColor rgb="FFFF8080"/>
      </patternFill>
    </fill>
    <fill>
      <patternFill patternType="solid">
        <fgColor rgb="FFFCD5B5"/>
        <bgColor rgb="FFFFEB9C"/>
      </patternFill>
    </fill>
    <fill>
      <patternFill patternType="solid">
        <fgColor rgb="FF92D050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rgb="FF00B050"/>
        <bgColor rgb="FF008080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2" borderId="0" applyBorder="0" applyProtection="0"/>
  </cellStyleXfs>
  <cellXfs count="51"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4" fontId="0" fillId="0" borderId="1" xfId="0" applyNumberFormat="1" applyBorder="1"/>
    <xf numFmtId="3" fontId="0" fillId="0" borderId="1" xfId="0" applyNumberFormat="1" applyBorder="1" applyAlignment="1">
      <alignment horizontal="center"/>
    </xf>
    <xf numFmtId="164" fontId="0" fillId="0" borderId="2" xfId="0" applyNumberFormat="1" applyBorder="1"/>
    <xf numFmtId="4" fontId="0" fillId="0" borderId="2" xfId="0" applyNumberFormat="1" applyBorder="1"/>
    <xf numFmtId="0" fontId="3" fillId="6" borderId="1" xfId="0" applyFont="1" applyFill="1" applyBorder="1"/>
    <xf numFmtId="164" fontId="3" fillId="6" borderId="1" xfId="0" applyNumberFormat="1" applyFont="1" applyFill="1" applyBorder="1"/>
    <xf numFmtId="3" fontId="3" fillId="6" borderId="1" xfId="0" applyNumberFormat="1" applyFont="1" applyFill="1" applyBorder="1"/>
    <xf numFmtId="4" fontId="3" fillId="6" borderId="1" xfId="0" applyNumberFormat="1" applyFont="1" applyFill="1" applyBorder="1" applyAlignment="1">
      <alignment horizontal="center"/>
    </xf>
    <xf numFmtId="0" fontId="3" fillId="7" borderId="1" xfId="0" applyFont="1" applyFill="1" applyBorder="1"/>
    <xf numFmtId="164" fontId="3" fillId="7" borderId="1" xfId="0" applyNumberFormat="1" applyFont="1" applyFill="1" applyBorder="1"/>
    <xf numFmtId="0" fontId="6" fillId="0" borderId="0" xfId="0" applyFont="1"/>
    <xf numFmtId="164" fontId="0" fillId="9" borderId="1" xfId="0" applyNumberFormat="1" applyFill="1" applyBorder="1"/>
    <xf numFmtId="4" fontId="0" fillId="9" borderId="1" xfId="0" applyNumberFormat="1" applyFill="1" applyBorder="1"/>
    <xf numFmtId="3" fontId="0" fillId="9" borderId="1" xfId="0" applyNumberFormat="1" applyFill="1" applyBorder="1" applyAlignment="1">
      <alignment horizontal="center"/>
    </xf>
    <xf numFmtId="0" fontId="0" fillId="9" borderId="0" xfId="0" applyFill="1"/>
    <xf numFmtId="164" fontId="0" fillId="10" borderId="1" xfId="0" applyNumberFormat="1" applyFill="1" applyBorder="1"/>
    <xf numFmtId="4" fontId="0" fillId="10" borderId="1" xfId="0" applyNumberFormat="1" applyFill="1" applyBorder="1"/>
    <xf numFmtId="3" fontId="0" fillId="10" borderId="1" xfId="0" applyNumberFormat="1" applyFill="1" applyBorder="1" applyAlignment="1">
      <alignment horizontal="center"/>
    </xf>
    <xf numFmtId="0" fontId="0" fillId="10" borderId="0" xfId="0" applyFill="1"/>
    <xf numFmtId="0" fontId="0" fillId="11" borderId="0" xfId="0" applyFill="1"/>
    <xf numFmtId="0" fontId="4" fillId="8" borderId="1" xfId="0" applyFont="1" applyFill="1" applyBorder="1"/>
    <xf numFmtId="164" fontId="5" fillId="8" borderId="1" xfId="0" applyNumberFormat="1" applyFont="1" applyFill="1" applyBorder="1"/>
    <xf numFmtId="0" fontId="6" fillId="4" borderId="1" xfId="0" applyFont="1" applyFill="1" applyBorder="1"/>
    <xf numFmtId="164" fontId="6" fillId="4" borderId="1" xfId="0" applyNumberFormat="1" applyFont="1" applyFill="1" applyBorder="1"/>
    <xf numFmtId="0" fontId="6" fillId="5" borderId="1" xfId="0" applyFont="1" applyFill="1" applyBorder="1"/>
    <xf numFmtId="164" fontId="6" fillId="5" borderId="1" xfId="0" applyNumberFormat="1" applyFont="1" applyFill="1" applyBorder="1"/>
    <xf numFmtId="0" fontId="0" fillId="0" borderId="1" xfId="0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3" fillId="0" borderId="0" xfId="0" applyNumberFormat="1" applyFont="1"/>
    <xf numFmtId="0" fontId="9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0" fillId="0" borderId="0" xfId="0" applyNumberFormat="1"/>
    <xf numFmtId="0" fontId="10" fillId="0" borderId="0" xfId="0" applyFont="1"/>
    <xf numFmtId="165" fontId="0" fillId="0" borderId="0" xfId="0" applyNumberFormat="1"/>
    <xf numFmtId="0" fontId="11" fillId="0" borderId="0" xfId="0" applyFont="1"/>
    <xf numFmtId="0" fontId="0" fillId="0" borderId="0" xfId="0" applyAlignment="1">
      <alignment horizontal="right"/>
    </xf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/>
    </xf>
  </cellXfs>
  <cellStyles count="2">
    <cellStyle name="Excel Built-in Neutral" xfId="1"/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EB9C"/>
      <rgbColor rgb="FF93CDDD"/>
      <rgbColor rgb="FFFF99CC"/>
      <rgbColor rgb="FFCC99FF"/>
      <rgbColor rgb="FFFCD5B5"/>
      <rgbColor rgb="FF3366FF"/>
      <rgbColor rgb="FF33CCCC"/>
      <rgbColor rgb="FF92D050"/>
      <rgbColor rgb="FFFFCC00"/>
      <rgbColor rgb="FFF79646"/>
      <rgbColor rgb="FFFF6600"/>
      <rgbColor rgb="FF666699"/>
      <rgbColor rgb="FF969696"/>
      <rgbColor rgb="FF003366"/>
      <rgbColor rgb="FF00B050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733425</xdr:colOff>
      <xdr:row>68</xdr:row>
      <xdr:rowOff>0</xdr:rowOff>
    </xdr:to>
    <xdr:sp macro="" textlink="">
      <xdr:nvSpPr>
        <xdr:cNvPr id="1026" name="_x0000_t202" hidden="1">
          <a:extLst>
            <a:ext uri="{FF2B5EF4-FFF2-40B4-BE49-F238E27FC236}">
              <a16:creationId xmlns="" xmlns:a16="http://schemas.microsoft.com/office/drawing/2014/main" id="{8E708D65-B39C-4C66-8F83-111039C4311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733425</xdr:colOff>
      <xdr:row>71</xdr:row>
      <xdr:rowOff>152400</xdr:rowOff>
    </xdr:to>
    <xdr:sp macro="" textlink="">
      <xdr:nvSpPr>
        <xdr:cNvPr id="2" name="AutoShape 2">
          <a:extLst>
            <a:ext uri="{FF2B5EF4-FFF2-40B4-BE49-F238E27FC236}">
              <a16:creationId xmlns="" xmlns:a16="http://schemas.microsoft.com/office/drawing/2014/main" id="{76F195F8-8565-460E-8978-2B8E6798448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726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733425</xdr:colOff>
      <xdr:row>71</xdr:row>
      <xdr:rowOff>152400</xdr:rowOff>
    </xdr:to>
    <xdr:sp macro="" textlink="">
      <xdr:nvSpPr>
        <xdr:cNvPr id="3" name="AutoShape 2">
          <a:extLst>
            <a:ext uri="{FF2B5EF4-FFF2-40B4-BE49-F238E27FC236}">
              <a16:creationId xmlns="" xmlns:a16="http://schemas.microsoft.com/office/drawing/2014/main" id="{14132FA2-CEF7-46CE-94DC-0D6AA807E50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726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733425</xdr:colOff>
      <xdr:row>71</xdr:row>
      <xdr:rowOff>152400</xdr:rowOff>
    </xdr:to>
    <xdr:sp macro="" textlink="">
      <xdr:nvSpPr>
        <xdr:cNvPr id="4" name="AutoShape 2">
          <a:extLst>
            <a:ext uri="{FF2B5EF4-FFF2-40B4-BE49-F238E27FC236}">
              <a16:creationId xmlns="" xmlns:a16="http://schemas.microsoft.com/office/drawing/2014/main" id="{A7629190-92BE-4B0D-BD20-26F5A6C5C84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726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733425</xdr:colOff>
      <xdr:row>70</xdr:row>
      <xdr:rowOff>152400</xdr:rowOff>
    </xdr:to>
    <xdr:sp macro="" textlink="">
      <xdr:nvSpPr>
        <xdr:cNvPr id="5" name="AutoShape 2">
          <a:extLst>
            <a:ext uri="{FF2B5EF4-FFF2-40B4-BE49-F238E27FC236}">
              <a16:creationId xmlns="" xmlns:a16="http://schemas.microsoft.com/office/drawing/2014/main" id="{204C3685-71B0-4252-96DE-A623A9BB5C8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6583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733425</xdr:colOff>
      <xdr:row>70</xdr:row>
      <xdr:rowOff>152400</xdr:rowOff>
    </xdr:to>
    <xdr:sp macro="" textlink="">
      <xdr:nvSpPr>
        <xdr:cNvPr id="6" name="AutoShape 2">
          <a:extLst>
            <a:ext uri="{FF2B5EF4-FFF2-40B4-BE49-F238E27FC236}">
              <a16:creationId xmlns="" xmlns:a16="http://schemas.microsoft.com/office/drawing/2014/main" id="{8489FE80-3D5D-416D-974D-B4CE4363EF2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6583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733425</xdr:colOff>
      <xdr:row>70</xdr:row>
      <xdr:rowOff>152400</xdr:rowOff>
    </xdr:to>
    <xdr:sp macro="" textlink="">
      <xdr:nvSpPr>
        <xdr:cNvPr id="7" name="AutoShape 2">
          <a:extLst>
            <a:ext uri="{FF2B5EF4-FFF2-40B4-BE49-F238E27FC236}">
              <a16:creationId xmlns="" xmlns:a16="http://schemas.microsoft.com/office/drawing/2014/main" id="{B6AC26BF-81C8-4EF5-9C5A-118C153671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6583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733425</xdr:colOff>
      <xdr:row>70</xdr:row>
      <xdr:rowOff>152400</xdr:rowOff>
    </xdr:to>
    <xdr:sp macro="" textlink="">
      <xdr:nvSpPr>
        <xdr:cNvPr id="8" name="AutoShape 2">
          <a:extLst>
            <a:ext uri="{FF2B5EF4-FFF2-40B4-BE49-F238E27FC236}">
              <a16:creationId xmlns="" xmlns:a16="http://schemas.microsoft.com/office/drawing/2014/main" id="{023813DC-0487-4DAF-84A2-EFF789C2618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6583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733425</xdr:colOff>
      <xdr:row>70</xdr:row>
      <xdr:rowOff>152400</xdr:rowOff>
    </xdr:to>
    <xdr:sp macro="" textlink="">
      <xdr:nvSpPr>
        <xdr:cNvPr id="9" name="AutoShape 2">
          <a:extLst>
            <a:ext uri="{FF2B5EF4-FFF2-40B4-BE49-F238E27FC236}">
              <a16:creationId xmlns="" xmlns:a16="http://schemas.microsoft.com/office/drawing/2014/main" id="{57E2FD97-7EE2-ACCA-7B8E-39AAD84CE9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6583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733425</xdr:colOff>
      <xdr:row>74</xdr:row>
      <xdr:rowOff>152400</xdr:rowOff>
    </xdr:to>
    <xdr:sp macro="" textlink="">
      <xdr:nvSpPr>
        <xdr:cNvPr id="10" name="AutoShape 2">
          <a:extLst>
            <a:ext uri="{FF2B5EF4-FFF2-40B4-BE49-F238E27FC236}">
              <a16:creationId xmlns="" xmlns:a16="http://schemas.microsoft.com/office/drawing/2014/main" id="{82AFE707-8D47-56B9-EF83-780C5DDE503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658350" cy="9620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733425</xdr:colOff>
      <xdr:row>70</xdr:row>
      <xdr:rowOff>152400</xdr:rowOff>
    </xdr:to>
    <xdr:sp macro="" textlink="">
      <xdr:nvSpPr>
        <xdr:cNvPr id="11" name="AutoShape 2">
          <a:extLst>
            <a:ext uri="{FF2B5EF4-FFF2-40B4-BE49-F238E27FC236}">
              <a16:creationId xmlns="" xmlns:a16="http://schemas.microsoft.com/office/drawing/2014/main" id="{DBD78CF3-0F8B-0D3E-668B-339B23966C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6583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733425</xdr:colOff>
      <xdr:row>67</xdr:row>
      <xdr:rowOff>19050</xdr:rowOff>
    </xdr:to>
    <xdr:sp macro="" textlink="">
      <xdr:nvSpPr>
        <xdr:cNvPr id="12" name="AutoShape 2">
          <a:extLst>
            <a:ext uri="{FF2B5EF4-FFF2-40B4-BE49-F238E27FC236}">
              <a16:creationId xmlns="" xmlns:a16="http://schemas.microsoft.com/office/drawing/2014/main" id="{38D744CF-935A-5CC1-E8EA-F09612CBFE8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658350" cy="1391602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733425</xdr:colOff>
      <xdr:row>69</xdr:row>
      <xdr:rowOff>19050</xdr:rowOff>
    </xdr:to>
    <xdr:sp macro="" textlink="">
      <xdr:nvSpPr>
        <xdr:cNvPr id="13" name="AutoShape 2">
          <a:extLst>
            <a:ext uri="{FF2B5EF4-FFF2-40B4-BE49-F238E27FC236}">
              <a16:creationId xmlns="" xmlns:a16="http://schemas.microsoft.com/office/drawing/2014/main" id="{D057227B-F8A3-B698-476F-679C5CD8911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658350" cy="139636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733425</xdr:colOff>
      <xdr:row>69</xdr:row>
      <xdr:rowOff>19050</xdr:rowOff>
    </xdr:to>
    <xdr:sp macro="" textlink="">
      <xdr:nvSpPr>
        <xdr:cNvPr id="14" name="AutoShape 2">
          <a:extLst>
            <a:ext uri="{FF2B5EF4-FFF2-40B4-BE49-F238E27FC236}">
              <a16:creationId xmlns="" xmlns:a16="http://schemas.microsoft.com/office/drawing/2014/main" id="{807FC46F-8F4F-F1A5-F714-4F8CE217F9D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658350" cy="139636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733425</xdr:colOff>
      <xdr:row>69</xdr:row>
      <xdr:rowOff>19050</xdr:rowOff>
    </xdr:to>
    <xdr:sp macro="" textlink="">
      <xdr:nvSpPr>
        <xdr:cNvPr id="15" name="AutoShape 2">
          <a:extLst>
            <a:ext uri="{FF2B5EF4-FFF2-40B4-BE49-F238E27FC236}">
              <a16:creationId xmlns="" xmlns:a16="http://schemas.microsoft.com/office/drawing/2014/main" id="{DC2C8CF6-1314-E83D-BB56-40326B9F989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658350" cy="139636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733425</xdr:colOff>
      <xdr:row>69</xdr:row>
      <xdr:rowOff>19050</xdr:rowOff>
    </xdr:to>
    <xdr:sp macro="" textlink="">
      <xdr:nvSpPr>
        <xdr:cNvPr id="16" name="AutoShape 2">
          <a:extLst>
            <a:ext uri="{FF2B5EF4-FFF2-40B4-BE49-F238E27FC236}">
              <a16:creationId xmlns="" xmlns:a16="http://schemas.microsoft.com/office/drawing/2014/main" id="{8AE6DD8F-6DC5-5213-267C-076C34846A4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658350" cy="139636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733425</xdr:colOff>
      <xdr:row>69</xdr:row>
      <xdr:rowOff>19050</xdr:rowOff>
    </xdr:to>
    <xdr:sp macro="" textlink="">
      <xdr:nvSpPr>
        <xdr:cNvPr id="17" name="AutoShape 2">
          <a:extLst>
            <a:ext uri="{FF2B5EF4-FFF2-40B4-BE49-F238E27FC236}">
              <a16:creationId xmlns="" xmlns:a16="http://schemas.microsoft.com/office/drawing/2014/main" id="{DD2A5747-BF0F-F66A-00C5-B958D8B7F64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658350" cy="139636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733425</xdr:colOff>
      <xdr:row>69</xdr:row>
      <xdr:rowOff>19050</xdr:rowOff>
    </xdr:to>
    <xdr:sp macro="" textlink="">
      <xdr:nvSpPr>
        <xdr:cNvPr id="18" name="AutoShape 2">
          <a:extLst>
            <a:ext uri="{FF2B5EF4-FFF2-40B4-BE49-F238E27FC236}">
              <a16:creationId xmlns="" xmlns:a16="http://schemas.microsoft.com/office/drawing/2014/main" id="{D4B5AFED-30C9-53DC-ACF6-7A3CD5F45BA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658350" cy="139636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119"/>
  <sheetViews>
    <sheetView tabSelected="1" topLeftCell="A49" zoomScaleNormal="100" workbookViewId="0">
      <pane activePane="bottomRight" state="frozen"/>
      <selection activeCell="Q50" sqref="Q50"/>
    </sheetView>
  </sheetViews>
  <sheetFormatPr baseColWidth="10" defaultColWidth="9.15234375" defaultRowHeight="14.6"/>
  <cols>
    <col min="1" max="1" width="8.53515625" customWidth="1"/>
    <col min="2" max="2" width="35.53515625" customWidth="1"/>
    <col min="3" max="4" width="14.15234375" customWidth="1"/>
    <col min="5" max="5" width="12" customWidth="1"/>
    <col min="6" max="6" width="12.15234375" customWidth="1"/>
    <col min="7" max="7" width="12" customWidth="1"/>
    <col min="8" max="8" width="12.53515625" customWidth="1"/>
    <col min="9" max="9" width="12.69140625" customWidth="1"/>
    <col min="10" max="10" width="12" customWidth="1"/>
    <col min="11" max="1024" width="10.69140625" customWidth="1"/>
  </cols>
  <sheetData>
    <row r="1" spans="1:1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spans="1:11">
      <c r="A2" s="4">
        <v>1</v>
      </c>
      <c r="B2" s="32" t="s">
        <v>17</v>
      </c>
      <c r="C2" s="5">
        <v>3.6661000000000001</v>
      </c>
      <c r="D2" s="5">
        <v>3.6661000000000001</v>
      </c>
      <c r="E2" s="5"/>
      <c r="F2" s="5"/>
      <c r="G2" s="6">
        <f t="shared" ref="G2:G68" si="0">H2/C2</f>
        <v>270.04173372248437</v>
      </c>
      <c r="H2" s="6">
        <v>990</v>
      </c>
      <c r="I2" s="7">
        <v>1</v>
      </c>
      <c r="J2">
        <f t="shared" ref="J2:J68" si="1">C2*I2</f>
        <v>3.6661000000000001</v>
      </c>
    </row>
    <row r="3" spans="1:11">
      <c r="A3" s="4">
        <f>A2+1</f>
        <v>2</v>
      </c>
      <c r="B3" s="32" t="s">
        <v>18</v>
      </c>
      <c r="C3" s="5">
        <v>3.2662</v>
      </c>
      <c r="D3" s="5">
        <v>3.7499999999999999E-2</v>
      </c>
      <c r="E3" s="5">
        <v>3.2286999999999999</v>
      </c>
      <c r="F3" s="5"/>
      <c r="G3" s="6">
        <f t="shared" si="0"/>
        <v>101.53695425877166</v>
      </c>
      <c r="H3" s="6">
        <v>331.64</v>
      </c>
      <c r="I3" s="7">
        <v>1</v>
      </c>
      <c r="J3">
        <f t="shared" si="1"/>
        <v>3.2662</v>
      </c>
    </row>
    <row r="4" spans="1:11">
      <c r="A4" s="4">
        <f t="shared" ref="A4:A67" si="2">A3+1</f>
        <v>3</v>
      </c>
      <c r="B4" s="32" t="s">
        <v>19</v>
      </c>
      <c r="C4" s="5">
        <v>0.26190000000000002</v>
      </c>
      <c r="D4" s="5">
        <v>0.26190000000000002</v>
      </c>
      <c r="E4" s="5"/>
      <c r="F4" s="5"/>
      <c r="G4" s="6">
        <f t="shared" si="0"/>
        <v>178.00687285223364</v>
      </c>
      <c r="H4" s="6">
        <v>46.62</v>
      </c>
      <c r="I4" s="7">
        <v>1</v>
      </c>
      <c r="J4">
        <f t="shared" si="1"/>
        <v>0.26190000000000002</v>
      </c>
    </row>
    <row r="5" spans="1:11">
      <c r="A5" s="4">
        <f t="shared" si="2"/>
        <v>4</v>
      </c>
      <c r="B5" s="32" t="s">
        <v>20</v>
      </c>
      <c r="C5" s="5">
        <v>42.382599999999996</v>
      </c>
      <c r="D5" s="5"/>
      <c r="E5" s="5">
        <v>32.1295</v>
      </c>
      <c r="F5" s="5">
        <v>10.2531</v>
      </c>
      <c r="G5" s="6">
        <f t="shared" si="0"/>
        <v>201.26183858470222</v>
      </c>
      <c r="H5" s="6">
        <v>8530</v>
      </c>
      <c r="I5" s="7">
        <v>5</v>
      </c>
      <c r="J5">
        <f t="shared" si="1"/>
        <v>211.91299999999998</v>
      </c>
    </row>
    <row r="6" spans="1:11">
      <c r="A6" s="4">
        <f t="shared" si="2"/>
        <v>5</v>
      </c>
      <c r="B6" s="32" t="s">
        <v>20</v>
      </c>
      <c r="C6" s="5">
        <v>11.1647</v>
      </c>
      <c r="D6" s="5"/>
      <c r="E6" s="5">
        <v>10.0237</v>
      </c>
      <c r="F6" s="5">
        <v>1.141</v>
      </c>
      <c r="G6" s="6">
        <f t="shared" si="0"/>
        <v>179.56057932591114</v>
      </c>
      <c r="H6" s="6">
        <v>2004.74</v>
      </c>
      <c r="I6" s="7">
        <v>6</v>
      </c>
      <c r="J6">
        <f t="shared" si="1"/>
        <v>66.988200000000006</v>
      </c>
    </row>
    <row r="7" spans="1:11">
      <c r="A7" s="4">
        <f t="shared" si="2"/>
        <v>6</v>
      </c>
      <c r="B7" s="32" t="s">
        <v>21</v>
      </c>
      <c r="C7" s="5">
        <v>26.843499999999999</v>
      </c>
      <c r="D7" s="5"/>
      <c r="E7" s="5">
        <v>20.732199999999999</v>
      </c>
      <c r="F7" s="5">
        <v>6.1113</v>
      </c>
      <c r="G7" s="6">
        <f t="shared" si="0"/>
        <v>77.233594724979966</v>
      </c>
      <c r="H7" s="6">
        <v>2073.2199999999998</v>
      </c>
      <c r="I7" s="7">
        <v>4</v>
      </c>
      <c r="J7">
        <f t="shared" si="1"/>
        <v>107.374</v>
      </c>
    </row>
    <row r="8" spans="1:11">
      <c r="A8" s="4">
        <f t="shared" si="2"/>
        <v>7</v>
      </c>
      <c r="B8" s="32" t="s">
        <v>22</v>
      </c>
      <c r="C8" s="5">
        <v>9.6180000000000003</v>
      </c>
      <c r="D8" s="5">
        <v>9.4257000000000009</v>
      </c>
      <c r="E8" s="5">
        <v>0.19170000000000001</v>
      </c>
      <c r="F8" s="5">
        <v>5.9999999999999995E-4</v>
      </c>
      <c r="G8" s="6">
        <f t="shared" si="0"/>
        <v>445.32231233104591</v>
      </c>
      <c r="H8" s="6">
        <v>4283.1099999999997</v>
      </c>
      <c r="I8" s="7">
        <v>5</v>
      </c>
      <c r="J8">
        <f t="shared" si="1"/>
        <v>48.09</v>
      </c>
    </row>
    <row r="9" spans="1:11">
      <c r="A9" s="4">
        <f t="shared" si="2"/>
        <v>8</v>
      </c>
      <c r="B9" s="32" t="s">
        <v>23</v>
      </c>
      <c r="C9" s="5">
        <v>2.3639000000000001</v>
      </c>
      <c r="D9" s="5">
        <v>0.93969999999999998</v>
      </c>
      <c r="E9" s="5">
        <v>1.4241999999999999</v>
      </c>
      <c r="F9" s="5"/>
      <c r="G9" s="6">
        <f t="shared" si="0"/>
        <v>181.90278776597995</v>
      </c>
      <c r="H9" s="6">
        <v>430</v>
      </c>
      <c r="I9" s="7">
        <v>6</v>
      </c>
      <c r="J9">
        <f t="shared" si="1"/>
        <v>14.183400000000001</v>
      </c>
    </row>
    <row r="10" spans="1:11">
      <c r="A10" s="4">
        <f t="shared" si="2"/>
        <v>9</v>
      </c>
      <c r="B10" s="32" t="s">
        <v>24</v>
      </c>
      <c r="C10" s="5">
        <v>16.9038</v>
      </c>
      <c r="D10" s="5">
        <v>14.3322</v>
      </c>
      <c r="E10" s="5">
        <v>2.5716000000000001</v>
      </c>
      <c r="F10" s="5"/>
      <c r="G10" s="6">
        <f t="shared" si="0"/>
        <v>341.08011216412876</v>
      </c>
      <c r="H10" s="6">
        <v>5765.55</v>
      </c>
      <c r="I10" s="7">
        <v>6</v>
      </c>
      <c r="J10">
        <f t="shared" si="1"/>
        <v>101.4228</v>
      </c>
    </row>
    <row r="11" spans="1:11">
      <c r="A11" s="4">
        <f t="shared" si="2"/>
        <v>10</v>
      </c>
      <c r="B11" s="32" t="s">
        <v>25</v>
      </c>
      <c r="C11" s="5">
        <v>0.11360000000000001</v>
      </c>
      <c r="D11" s="5">
        <v>1.9199999999999998E-2</v>
      </c>
      <c r="E11" s="5"/>
      <c r="F11" s="5">
        <v>9.4399999999999998E-2</v>
      </c>
      <c r="G11" s="6">
        <f t="shared" si="0"/>
        <v>35.475352112676056</v>
      </c>
      <c r="H11" s="6">
        <v>4.03</v>
      </c>
      <c r="I11" s="7">
        <v>1</v>
      </c>
      <c r="J11">
        <f t="shared" si="1"/>
        <v>0.11360000000000001</v>
      </c>
      <c r="K11" t="s">
        <v>26</v>
      </c>
    </row>
    <row r="12" spans="1:11">
      <c r="A12" s="4">
        <f t="shared" si="2"/>
        <v>11</v>
      </c>
      <c r="B12" s="32" t="s">
        <v>27</v>
      </c>
      <c r="C12" s="5">
        <v>7.4119999999999999</v>
      </c>
      <c r="D12" s="5">
        <v>7.2563000000000004</v>
      </c>
      <c r="E12" s="5"/>
      <c r="F12" s="5">
        <v>0.15570000000000001</v>
      </c>
      <c r="G12" s="6">
        <f t="shared" si="0"/>
        <v>470.04856988667029</v>
      </c>
      <c r="H12" s="6">
        <v>3484</v>
      </c>
      <c r="I12" s="7">
        <v>4</v>
      </c>
      <c r="J12">
        <f t="shared" si="1"/>
        <v>29.648</v>
      </c>
    </row>
    <row r="13" spans="1:11">
      <c r="A13" s="4">
        <f t="shared" si="2"/>
        <v>12</v>
      </c>
      <c r="B13" s="32" t="s">
        <v>28</v>
      </c>
      <c r="C13" s="5">
        <v>16.350200000000001</v>
      </c>
      <c r="D13" s="5">
        <v>15.460800000000001</v>
      </c>
      <c r="E13" s="5">
        <v>0.54659999999999997</v>
      </c>
      <c r="F13" s="5">
        <v>0.34279999999999999</v>
      </c>
      <c r="G13" s="6">
        <f t="shared" si="0"/>
        <v>379.20025443113843</v>
      </c>
      <c r="H13" s="6">
        <v>6200</v>
      </c>
      <c r="I13" s="7">
        <v>1</v>
      </c>
      <c r="J13">
        <f t="shared" si="1"/>
        <v>16.350200000000001</v>
      </c>
    </row>
    <row r="14" spans="1:11">
      <c r="A14" s="4">
        <f t="shared" si="2"/>
        <v>13</v>
      </c>
      <c r="B14" s="32" t="s">
        <v>29</v>
      </c>
      <c r="C14" s="5">
        <v>6.2306999999999997</v>
      </c>
      <c r="D14" s="5">
        <v>6.2202999999999999</v>
      </c>
      <c r="E14" s="5"/>
      <c r="F14" s="5">
        <v>1.04E-2</v>
      </c>
      <c r="G14" s="6">
        <f t="shared" si="0"/>
        <v>399.33233826054857</v>
      </c>
      <c r="H14" s="6">
        <v>2488.12</v>
      </c>
      <c r="I14" s="7">
        <v>6</v>
      </c>
      <c r="J14">
        <f t="shared" si="1"/>
        <v>37.3842</v>
      </c>
    </row>
    <row r="15" spans="1:11">
      <c r="A15" s="4">
        <f t="shared" si="2"/>
        <v>14</v>
      </c>
      <c r="B15" s="32" t="s">
        <v>30</v>
      </c>
      <c r="C15" s="5">
        <v>1.5</v>
      </c>
      <c r="D15" s="5"/>
      <c r="E15" s="5">
        <v>1.5</v>
      </c>
      <c r="F15" s="5"/>
      <c r="G15" s="6">
        <f t="shared" si="0"/>
        <v>150</v>
      </c>
      <c r="H15" s="6">
        <v>225</v>
      </c>
      <c r="I15" s="7">
        <v>6</v>
      </c>
      <c r="J15">
        <f t="shared" si="1"/>
        <v>9</v>
      </c>
    </row>
    <row r="16" spans="1:11">
      <c r="A16" s="4">
        <f t="shared" si="2"/>
        <v>15</v>
      </c>
      <c r="B16" s="32" t="s">
        <v>111</v>
      </c>
      <c r="C16" s="5">
        <v>6</v>
      </c>
      <c r="D16" s="5">
        <v>6</v>
      </c>
      <c r="E16" s="5"/>
      <c r="F16" s="5"/>
      <c r="G16" s="6">
        <v>405</v>
      </c>
      <c r="H16" s="6">
        <v>2430</v>
      </c>
      <c r="I16" s="7">
        <v>5</v>
      </c>
      <c r="J16">
        <f t="shared" si="1"/>
        <v>30</v>
      </c>
      <c r="K16" t="s">
        <v>113</v>
      </c>
    </row>
    <row r="17" spans="1:11">
      <c r="A17" s="4">
        <f t="shared" si="2"/>
        <v>16</v>
      </c>
      <c r="B17" s="32" t="s">
        <v>112</v>
      </c>
      <c r="C17" s="5">
        <v>8.4776000000000007</v>
      </c>
      <c r="D17" s="5">
        <v>8.0195000000000007</v>
      </c>
      <c r="E17" s="5"/>
      <c r="F17" s="5">
        <v>0.45810000000000001</v>
      </c>
      <c r="G17" s="6">
        <v>405</v>
      </c>
      <c r="H17" s="6">
        <v>3247</v>
      </c>
      <c r="I17" s="7">
        <v>5</v>
      </c>
      <c r="J17">
        <f t="shared" si="1"/>
        <v>42.388000000000005</v>
      </c>
      <c r="K17" t="s">
        <v>113</v>
      </c>
    </row>
    <row r="18" spans="1:11">
      <c r="A18" s="4">
        <f t="shared" si="2"/>
        <v>17</v>
      </c>
      <c r="B18" s="32" t="s">
        <v>31</v>
      </c>
      <c r="C18" s="5">
        <v>40.240099999999998</v>
      </c>
      <c r="D18" s="5">
        <v>20.356400000000001</v>
      </c>
      <c r="E18" s="5">
        <v>17.5519</v>
      </c>
      <c r="F18" s="5">
        <v>2.3317999999999999</v>
      </c>
      <c r="G18" s="6">
        <f t="shared" si="0"/>
        <v>322.56381072611651</v>
      </c>
      <c r="H18" s="6">
        <v>12980</v>
      </c>
      <c r="I18" s="7">
        <v>6</v>
      </c>
      <c r="J18">
        <f t="shared" si="1"/>
        <v>241.44059999999999</v>
      </c>
    </row>
    <row r="19" spans="1:11">
      <c r="A19" s="4">
        <f t="shared" si="2"/>
        <v>18</v>
      </c>
      <c r="B19" s="32" t="s">
        <v>32</v>
      </c>
      <c r="C19" s="5">
        <v>1.6233</v>
      </c>
      <c r="D19" s="5"/>
      <c r="E19" s="5">
        <v>1.6020000000000001</v>
      </c>
      <c r="F19" s="5">
        <v>2.1299999999999999E-2</v>
      </c>
      <c r="G19" s="6">
        <f t="shared" si="0"/>
        <v>168.17593790426909</v>
      </c>
      <c r="H19" s="6">
        <v>273</v>
      </c>
      <c r="I19" s="7">
        <v>4</v>
      </c>
      <c r="J19">
        <f t="shared" si="1"/>
        <v>6.4931999999999999</v>
      </c>
    </row>
    <row r="20" spans="1:11">
      <c r="A20" s="4">
        <f t="shared" si="2"/>
        <v>19</v>
      </c>
      <c r="B20" s="32" t="s">
        <v>33</v>
      </c>
      <c r="C20" s="5">
        <v>1.85</v>
      </c>
      <c r="D20" s="5">
        <v>1.7729999999999999</v>
      </c>
      <c r="E20" s="5"/>
      <c r="F20" s="5">
        <v>7.6999999999999999E-2</v>
      </c>
      <c r="G20" s="6">
        <f t="shared" si="0"/>
        <v>337.35135135135135</v>
      </c>
      <c r="H20" s="6">
        <v>624.1</v>
      </c>
      <c r="I20" s="7">
        <v>6</v>
      </c>
      <c r="J20">
        <f t="shared" si="1"/>
        <v>11.100000000000001</v>
      </c>
    </row>
    <row r="21" spans="1:11">
      <c r="A21" s="4">
        <f t="shared" si="2"/>
        <v>20</v>
      </c>
      <c r="B21" s="32" t="s">
        <v>34</v>
      </c>
      <c r="C21" s="5">
        <v>22.7593</v>
      </c>
      <c r="D21" s="5">
        <v>6.5795000000000003</v>
      </c>
      <c r="E21" s="5">
        <v>15.917999999999999</v>
      </c>
      <c r="F21" s="5">
        <v>0.26179999999999998</v>
      </c>
      <c r="G21" s="6">
        <f t="shared" si="0"/>
        <v>202.51062203143331</v>
      </c>
      <c r="H21" s="6">
        <v>4609</v>
      </c>
      <c r="I21" s="7">
        <v>4</v>
      </c>
      <c r="J21">
        <f t="shared" si="1"/>
        <v>91.037199999999999</v>
      </c>
    </row>
    <row r="22" spans="1:11">
      <c r="A22" s="4">
        <f t="shared" si="2"/>
        <v>21</v>
      </c>
      <c r="B22" s="32" t="s">
        <v>35</v>
      </c>
      <c r="C22" s="5">
        <v>12.6769</v>
      </c>
      <c r="D22" s="5">
        <v>2.7048000000000001</v>
      </c>
      <c r="E22" s="5">
        <v>9.9583999999999993</v>
      </c>
      <c r="F22" s="5">
        <v>1.37E-2</v>
      </c>
      <c r="G22" s="6">
        <f t="shared" si="0"/>
        <v>197.0876160575535</v>
      </c>
      <c r="H22" s="6">
        <v>2498.46</v>
      </c>
      <c r="I22" s="7">
        <v>4</v>
      </c>
      <c r="J22">
        <f t="shared" si="1"/>
        <v>50.707599999999999</v>
      </c>
    </row>
    <row r="23" spans="1:11" ht="14.25" customHeight="1">
      <c r="A23" s="4">
        <f t="shared" si="2"/>
        <v>22</v>
      </c>
      <c r="B23" s="32" t="s">
        <v>36</v>
      </c>
      <c r="C23" s="5">
        <v>18.732800000000001</v>
      </c>
      <c r="D23" s="5">
        <v>17.2697</v>
      </c>
      <c r="E23" s="5"/>
      <c r="F23" s="5">
        <v>1.6096999999999999</v>
      </c>
      <c r="G23" s="6">
        <f t="shared" si="0"/>
        <v>348.96438332763921</v>
      </c>
      <c r="H23" s="6">
        <v>6537.08</v>
      </c>
      <c r="I23" s="7">
        <v>6</v>
      </c>
      <c r="J23">
        <f t="shared" si="1"/>
        <v>112.39680000000001</v>
      </c>
    </row>
    <row r="24" spans="1:11">
      <c r="A24" s="4">
        <f t="shared" si="2"/>
        <v>23</v>
      </c>
      <c r="B24" s="32" t="s">
        <v>37</v>
      </c>
      <c r="C24" s="5">
        <v>18.070399999999999</v>
      </c>
      <c r="D24" s="5">
        <v>16.470400000000001</v>
      </c>
      <c r="E24" s="5">
        <v>1.6</v>
      </c>
      <c r="F24" s="5"/>
      <c r="G24" s="6">
        <f t="shared" si="0"/>
        <v>351.60317425181512</v>
      </c>
      <c r="H24" s="6">
        <v>6353.61</v>
      </c>
      <c r="I24" s="7">
        <v>1</v>
      </c>
      <c r="J24">
        <f t="shared" si="1"/>
        <v>18.070399999999999</v>
      </c>
    </row>
    <row r="25" spans="1:11">
      <c r="A25" s="4">
        <f t="shared" si="2"/>
        <v>24</v>
      </c>
      <c r="B25" s="32" t="s">
        <v>38</v>
      </c>
      <c r="C25" s="5">
        <v>1.1265000000000001</v>
      </c>
      <c r="D25" s="5">
        <v>1.1265000000000001</v>
      </c>
      <c r="E25" s="5"/>
      <c r="F25" s="5"/>
      <c r="G25" s="6">
        <f t="shared" si="0"/>
        <v>378.40213049267641</v>
      </c>
      <c r="H25" s="6">
        <v>426.27</v>
      </c>
      <c r="I25" s="7">
        <v>5</v>
      </c>
      <c r="J25">
        <f t="shared" si="1"/>
        <v>5.6325000000000003</v>
      </c>
    </row>
    <row r="26" spans="1:11">
      <c r="A26" s="4">
        <f t="shared" si="2"/>
        <v>25</v>
      </c>
      <c r="B26" s="32" t="s">
        <v>108</v>
      </c>
      <c r="C26" s="5">
        <v>17.5382</v>
      </c>
      <c r="D26" s="5">
        <v>17.1691</v>
      </c>
      <c r="E26" s="5"/>
      <c r="F26" s="5">
        <v>0.36909999999999998</v>
      </c>
      <c r="G26" s="6">
        <f t="shared" si="0"/>
        <v>547.37658368589712</v>
      </c>
      <c r="H26" s="9">
        <v>9600</v>
      </c>
      <c r="I26" s="7">
        <v>6</v>
      </c>
      <c r="J26">
        <f t="shared" si="1"/>
        <v>105.22919999999999</v>
      </c>
    </row>
    <row r="27" spans="1:11">
      <c r="A27" s="4">
        <f t="shared" si="2"/>
        <v>26</v>
      </c>
      <c r="B27" s="32" t="s">
        <v>39</v>
      </c>
      <c r="C27">
        <v>7.3601000000000001</v>
      </c>
      <c r="D27" s="4">
        <v>4.5998999999999999</v>
      </c>
      <c r="E27" s="8">
        <v>2.7602000000000002</v>
      </c>
      <c r="F27" s="4"/>
      <c r="G27" s="6">
        <f t="shared" si="0"/>
        <v>285.81812747109416</v>
      </c>
      <c r="H27" s="9">
        <v>2103.65</v>
      </c>
      <c r="I27" s="7">
        <v>6</v>
      </c>
      <c r="J27">
        <f t="shared" si="1"/>
        <v>44.160600000000002</v>
      </c>
    </row>
    <row r="28" spans="1:11">
      <c r="A28" s="4">
        <f t="shared" si="2"/>
        <v>27</v>
      </c>
      <c r="B28" s="32" t="s">
        <v>41</v>
      </c>
      <c r="C28" s="5">
        <v>15.794700000000001</v>
      </c>
      <c r="D28" s="5">
        <v>15.7392</v>
      </c>
      <c r="E28" s="5"/>
      <c r="F28" s="5">
        <v>5.5500000000000001E-2</v>
      </c>
      <c r="G28" s="6">
        <f t="shared" si="0"/>
        <v>474.84282702425497</v>
      </c>
      <c r="H28" s="6">
        <v>7500</v>
      </c>
      <c r="I28" s="7">
        <v>3</v>
      </c>
      <c r="J28">
        <f t="shared" si="1"/>
        <v>47.384100000000004</v>
      </c>
    </row>
    <row r="29" spans="1:11">
      <c r="A29" s="4">
        <f t="shared" si="2"/>
        <v>28</v>
      </c>
      <c r="B29" s="32" t="s">
        <v>109</v>
      </c>
      <c r="C29" s="5">
        <v>32.279200000000003</v>
      </c>
      <c r="D29" s="5">
        <v>16.830300000000001</v>
      </c>
      <c r="E29" s="5">
        <v>14.208600000000001</v>
      </c>
      <c r="F29" s="5">
        <v>1.2403</v>
      </c>
      <c r="G29" s="6">
        <f t="shared" si="0"/>
        <v>278.33775310416615</v>
      </c>
      <c r="H29" s="6">
        <v>8984.52</v>
      </c>
      <c r="I29" s="7">
        <v>6</v>
      </c>
      <c r="J29">
        <f t="shared" si="1"/>
        <v>193.67520000000002</v>
      </c>
    </row>
    <row r="30" spans="1:11">
      <c r="A30" s="4">
        <f t="shared" si="2"/>
        <v>29</v>
      </c>
      <c r="B30" s="32" t="s">
        <v>42</v>
      </c>
      <c r="C30" s="5">
        <v>0.185</v>
      </c>
      <c r="D30" s="5">
        <v>0.185</v>
      </c>
      <c r="E30" s="5"/>
      <c r="F30" s="5"/>
      <c r="G30" s="6">
        <f t="shared" si="0"/>
        <v>240</v>
      </c>
      <c r="H30" s="6">
        <v>44.4</v>
      </c>
      <c r="I30" s="7">
        <v>6</v>
      </c>
      <c r="J30">
        <f t="shared" si="1"/>
        <v>1.1099999999999999</v>
      </c>
    </row>
    <row r="31" spans="1:11" ht="15.75" customHeight="1">
      <c r="A31" s="4">
        <f t="shared" si="2"/>
        <v>30</v>
      </c>
      <c r="B31" s="32" t="s">
        <v>43</v>
      </c>
      <c r="C31" s="5">
        <v>8.6E-3</v>
      </c>
      <c r="D31" s="5"/>
      <c r="E31" s="5"/>
      <c r="F31" s="5">
        <v>8.6E-3</v>
      </c>
      <c r="G31" s="6">
        <f t="shared" si="0"/>
        <v>18655.81395348837</v>
      </c>
      <c r="H31" s="6">
        <v>160.44</v>
      </c>
      <c r="I31" s="7">
        <v>1</v>
      </c>
      <c r="J31">
        <f t="shared" si="1"/>
        <v>8.6E-3</v>
      </c>
      <c r="K31" t="s">
        <v>44</v>
      </c>
    </row>
    <row r="32" spans="1:11">
      <c r="A32" s="4">
        <f t="shared" si="2"/>
        <v>31</v>
      </c>
      <c r="B32" s="32" t="s">
        <v>46</v>
      </c>
      <c r="C32" s="5">
        <v>10.767300000000001</v>
      </c>
      <c r="D32" s="5">
        <v>7.4412000000000003</v>
      </c>
      <c r="E32" s="5">
        <v>3.3260999999999998</v>
      </c>
      <c r="F32" s="5"/>
      <c r="G32" s="6">
        <f t="shared" si="0"/>
        <v>271.22398372851131</v>
      </c>
      <c r="H32" s="6">
        <v>2920.35</v>
      </c>
      <c r="I32" s="7">
        <v>6</v>
      </c>
      <c r="J32">
        <f t="shared" si="1"/>
        <v>64.603800000000007</v>
      </c>
    </row>
    <row r="33" spans="1:11">
      <c r="A33" s="4">
        <f t="shared" si="2"/>
        <v>32</v>
      </c>
      <c r="B33" s="32" t="s">
        <v>47</v>
      </c>
      <c r="C33" s="5">
        <v>1.8511</v>
      </c>
      <c r="D33" s="5">
        <v>1.8511</v>
      </c>
      <c r="E33" s="5"/>
      <c r="F33" s="5"/>
      <c r="G33" s="6">
        <f t="shared" si="0"/>
        <v>327.99956782453677</v>
      </c>
      <c r="H33" s="6">
        <v>607.16</v>
      </c>
      <c r="I33" s="7">
        <v>6</v>
      </c>
      <c r="J33">
        <f t="shared" si="1"/>
        <v>11.1066</v>
      </c>
    </row>
    <row r="34" spans="1:11">
      <c r="A34" s="4">
        <f t="shared" si="2"/>
        <v>33</v>
      </c>
      <c r="B34" s="32" t="s">
        <v>49</v>
      </c>
      <c r="C34" s="5">
        <v>0.88300000000000001</v>
      </c>
      <c r="D34" s="5"/>
      <c r="E34" s="5">
        <v>0.88300000000000001</v>
      </c>
      <c r="F34" s="5"/>
      <c r="G34" s="6">
        <f t="shared" si="0"/>
        <v>147.22536806342015</v>
      </c>
      <c r="H34" s="6">
        <v>130</v>
      </c>
      <c r="I34" s="7">
        <v>6</v>
      </c>
      <c r="J34">
        <f t="shared" si="1"/>
        <v>5.298</v>
      </c>
    </row>
    <row r="35" spans="1:11">
      <c r="A35" s="4">
        <f t="shared" si="2"/>
        <v>34</v>
      </c>
      <c r="B35" s="32" t="s">
        <v>50</v>
      </c>
      <c r="C35" s="5">
        <v>4.3868999999999998</v>
      </c>
      <c r="D35" s="5">
        <v>4.2927999999999997</v>
      </c>
      <c r="E35" s="5"/>
      <c r="F35" s="5">
        <v>9.4100000000000003E-2</v>
      </c>
      <c r="G35" s="6">
        <f t="shared" si="0"/>
        <v>334.66456951377972</v>
      </c>
      <c r="H35" s="6">
        <v>1468.14</v>
      </c>
      <c r="I35" s="7">
        <v>6</v>
      </c>
      <c r="J35">
        <f t="shared" si="1"/>
        <v>26.321399999999997</v>
      </c>
    </row>
    <row r="36" spans="1:11">
      <c r="A36" s="4">
        <f t="shared" si="2"/>
        <v>35</v>
      </c>
      <c r="B36" s="32" t="s">
        <v>51</v>
      </c>
      <c r="C36" s="5">
        <v>39.906300000000002</v>
      </c>
      <c r="D36" s="5">
        <v>18.913399999999999</v>
      </c>
      <c r="E36" s="5">
        <v>19.883800000000001</v>
      </c>
      <c r="F36" s="5">
        <v>1.1091</v>
      </c>
      <c r="G36" s="6">
        <f t="shared" si="0"/>
        <v>231.29505867494603</v>
      </c>
      <c r="H36" s="6">
        <v>9230.1299999999992</v>
      </c>
      <c r="I36" s="7">
        <v>6</v>
      </c>
      <c r="J36">
        <f t="shared" si="1"/>
        <v>239.43780000000001</v>
      </c>
    </row>
    <row r="37" spans="1:11">
      <c r="A37" s="4">
        <f t="shared" si="2"/>
        <v>36</v>
      </c>
      <c r="B37" s="32" t="s">
        <v>52</v>
      </c>
      <c r="C37" s="5">
        <v>1.78</v>
      </c>
      <c r="D37" s="5"/>
      <c r="E37" s="5">
        <v>1.78</v>
      </c>
      <c r="F37" s="5"/>
      <c r="G37" s="6">
        <f t="shared" si="0"/>
        <v>125.28089887640449</v>
      </c>
      <c r="H37" s="6">
        <v>223</v>
      </c>
      <c r="I37" s="7">
        <v>1</v>
      </c>
      <c r="J37">
        <f t="shared" si="1"/>
        <v>1.78</v>
      </c>
      <c r="K37" t="s">
        <v>53</v>
      </c>
    </row>
    <row r="38" spans="1:11">
      <c r="A38" s="4">
        <f t="shared" si="2"/>
        <v>37</v>
      </c>
      <c r="B38" s="32" t="s">
        <v>54</v>
      </c>
      <c r="C38" s="5">
        <v>6.1181000000000001</v>
      </c>
      <c r="D38" s="5">
        <v>6.1154000000000002</v>
      </c>
      <c r="E38" s="5"/>
      <c r="F38" s="5">
        <v>2.7000000000000001E-3</v>
      </c>
      <c r="G38" s="6">
        <f t="shared" si="0"/>
        <v>279.87610532681714</v>
      </c>
      <c r="H38" s="6">
        <v>1712.31</v>
      </c>
      <c r="I38" s="7">
        <v>6</v>
      </c>
      <c r="J38">
        <f t="shared" si="1"/>
        <v>36.708600000000004</v>
      </c>
    </row>
    <row r="39" spans="1:11">
      <c r="A39" s="4">
        <f t="shared" si="2"/>
        <v>38</v>
      </c>
      <c r="B39" s="32" t="s">
        <v>55</v>
      </c>
      <c r="C39" s="5">
        <v>5.4001000000000001</v>
      </c>
      <c r="D39" s="5">
        <v>3.915</v>
      </c>
      <c r="E39" s="5">
        <v>1.4844999999999999</v>
      </c>
      <c r="F39" s="5">
        <v>5.9999999999999995E-4</v>
      </c>
      <c r="G39" s="6">
        <f t="shared" si="0"/>
        <v>325.69767226532838</v>
      </c>
      <c r="H39" s="6">
        <v>1758.8</v>
      </c>
      <c r="I39" s="7">
        <v>6</v>
      </c>
      <c r="J39">
        <f t="shared" si="1"/>
        <v>32.400599999999997</v>
      </c>
    </row>
    <row r="40" spans="1:11">
      <c r="A40" s="4">
        <f t="shared" si="2"/>
        <v>39</v>
      </c>
      <c r="B40" s="32" t="s">
        <v>57</v>
      </c>
      <c r="C40" s="5">
        <v>116.5684</v>
      </c>
      <c r="D40" s="5">
        <v>83.240700000000004</v>
      </c>
      <c r="E40" s="5">
        <v>31.304600000000001</v>
      </c>
      <c r="F40" s="5">
        <v>2.0230999999999999</v>
      </c>
      <c r="G40" s="6">
        <f t="shared" si="0"/>
        <v>391.31531358412747</v>
      </c>
      <c r="H40" s="6">
        <v>45615</v>
      </c>
      <c r="I40" s="7">
        <v>5</v>
      </c>
      <c r="J40">
        <f t="shared" si="1"/>
        <v>582.84199999999998</v>
      </c>
    </row>
    <row r="41" spans="1:11">
      <c r="A41" s="4">
        <f t="shared" si="2"/>
        <v>40</v>
      </c>
      <c r="B41" s="32" t="s">
        <v>56</v>
      </c>
      <c r="C41" s="5">
        <v>53.170999999999999</v>
      </c>
      <c r="D41" s="5">
        <v>47.252699999999997</v>
      </c>
      <c r="E41" s="5">
        <v>2.8397000000000001</v>
      </c>
      <c r="F41" s="5">
        <v>3.0785999999999998</v>
      </c>
      <c r="G41" s="6">
        <f t="shared" si="0"/>
        <v>463.14720430309757</v>
      </c>
      <c r="H41" s="6">
        <v>24626</v>
      </c>
      <c r="I41" s="7">
        <v>5</v>
      </c>
      <c r="J41">
        <f t="shared" si="1"/>
        <v>265.85500000000002</v>
      </c>
    </row>
    <row r="42" spans="1:11">
      <c r="A42" s="4">
        <f t="shared" si="2"/>
        <v>41</v>
      </c>
      <c r="B42" s="32" t="s">
        <v>56</v>
      </c>
      <c r="C42" s="5">
        <v>6.0761000000000003</v>
      </c>
      <c r="D42" s="5">
        <v>5.8380999999999998</v>
      </c>
      <c r="E42" s="5">
        <v>0.14610000000000001</v>
      </c>
      <c r="F42" s="5">
        <v>9.1899999999999996E-2</v>
      </c>
      <c r="G42" s="6">
        <f t="shared" si="0"/>
        <v>495.78677111963259</v>
      </c>
      <c r="H42" s="6">
        <v>3012.45</v>
      </c>
      <c r="I42" s="7">
        <v>9</v>
      </c>
      <c r="J42">
        <f t="shared" si="1"/>
        <v>54.684899999999999</v>
      </c>
    </row>
    <row r="43" spans="1:11">
      <c r="A43" s="4">
        <f t="shared" si="2"/>
        <v>42</v>
      </c>
      <c r="B43" s="32" t="s">
        <v>58</v>
      </c>
      <c r="C43" s="5">
        <v>13.1561</v>
      </c>
      <c r="D43" s="5">
        <v>12.351100000000001</v>
      </c>
      <c r="E43" s="5">
        <v>0.12509999999999999</v>
      </c>
      <c r="F43" s="5">
        <v>0.67989999999999995</v>
      </c>
      <c r="G43" s="6">
        <f t="shared" si="0"/>
        <v>356.79266651971329</v>
      </c>
      <c r="H43" s="6">
        <v>4694</v>
      </c>
      <c r="I43" s="7">
        <v>4</v>
      </c>
      <c r="J43">
        <f t="shared" si="1"/>
        <v>52.624400000000001</v>
      </c>
    </row>
    <row r="44" spans="1:11">
      <c r="A44" s="4">
        <f t="shared" si="2"/>
        <v>43</v>
      </c>
      <c r="B44" s="32" t="s">
        <v>59</v>
      </c>
      <c r="C44" s="5">
        <v>18.005199999999999</v>
      </c>
      <c r="D44" s="5">
        <v>10.419700000000001</v>
      </c>
      <c r="E44" s="5">
        <v>7.4222999999999999</v>
      </c>
      <c r="F44" s="5">
        <v>0.16320000000000001</v>
      </c>
      <c r="G44" s="6">
        <f t="shared" si="0"/>
        <v>322.52071623753142</v>
      </c>
      <c r="H44" s="6">
        <v>5807.05</v>
      </c>
      <c r="I44" s="7">
        <v>6</v>
      </c>
      <c r="J44">
        <f t="shared" si="1"/>
        <v>108.03119999999998</v>
      </c>
    </row>
    <row r="45" spans="1:11">
      <c r="A45" s="4">
        <f t="shared" si="2"/>
        <v>44</v>
      </c>
      <c r="B45" s="32" t="s">
        <v>60</v>
      </c>
      <c r="C45" s="5">
        <v>3.5057</v>
      </c>
      <c r="D45" s="5">
        <v>3.4369000000000001</v>
      </c>
      <c r="E45" s="5"/>
      <c r="F45" s="5">
        <v>6.88E-2</v>
      </c>
      <c r="G45" s="6">
        <f t="shared" si="0"/>
        <v>399.34963060159168</v>
      </c>
      <c r="H45" s="6">
        <v>1400</v>
      </c>
      <c r="I45" s="7">
        <v>4</v>
      </c>
      <c r="J45">
        <f t="shared" si="1"/>
        <v>14.0228</v>
      </c>
    </row>
    <row r="46" spans="1:11">
      <c r="A46" s="4">
        <f t="shared" si="2"/>
        <v>45</v>
      </c>
      <c r="B46" s="32" t="s">
        <v>61</v>
      </c>
      <c r="C46" s="5">
        <v>1.1100000000000001</v>
      </c>
      <c r="D46" s="5">
        <v>1.1100000000000001</v>
      </c>
      <c r="E46" s="5"/>
      <c r="F46" s="5"/>
      <c r="G46" s="6">
        <f t="shared" si="0"/>
        <v>327.99999999999994</v>
      </c>
      <c r="H46" s="6">
        <v>364.08</v>
      </c>
      <c r="I46" s="7">
        <v>6</v>
      </c>
      <c r="J46">
        <f t="shared" si="1"/>
        <v>6.66</v>
      </c>
    </row>
    <row r="47" spans="1:11">
      <c r="A47" s="4">
        <f t="shared" si="2"/>
        <v>46</v>
      </c>
      <c r="B47" s="32" t="s">
        <v>62</v>
      </c>
      <c r="C47" s="5">
        <v>0.5</v>
      </c>
      <c r="D47" s="5">
        <v>0.5</v>
      </c>
      <c r="E47" s="5"/>
      <c r="F47" s="5"/>
      <c r="G47" s="6">
        <f t="shared" si="0"/>
        <v>368</v>
      </c>
      <c r="H47" s="6">
        <v>184</v>
      </c>
      <c r="I47" s="7">
        <v>6</v>
      </c>
      <c r="J47">
        <f t="shared" si="1"/>
        <v>3</v>
      </c>
    </row>
    <row r="48" spans="1:11">
      <c r="A48" s="4">
        <f t="shared" si="2"/>
        <v>47</v>
      </c>
      <c r="B48" s="32" t="s">
        <v>63</v>
      </c>
      <c r="C48" s="5">
        <v>1.2638</v>
      </c>
      <c r="D48" s="5">
        <v>1.2638</v>
      </c>
      <c r="E48" s="5"/>
      <c r="F48" s="5"/>
      <c r="G48" s="6">
        <f t="shared" si="0"/>
        <v>312.00348156353851</v>
      </c>
      <c r="H48" s="6">
        <v>394.31</v>
      </c>
      <c r="I48" s="7">
        <v>6</v>
      </c>
      <c r="J48">
        <f t="shared" si="1"/>
        <v>7.5828000000000007</v>
      </c>
    </row>
    <row r="49" spans="1:26">
      <c r="A49" s="4">
        <f t="shared" si="2"/>
        <v>48</v>
      </c>
      <c r="B49" s="32" t="s">
        <v>64</v>
      </c>
      <c r="C49" s="5">
        <v>9.6097999999999999</v>
      </c>
      <c r="D49" s="5">
        <v>6.2854999999999999</v>
      </c>
      <c r="E49" s="5">
        <v>3.1808999999999998</v>
      </c>
      <c r="F49" s="5">
        <v>0.1434</v>
      </c>
      <c r="G49" s="6">
        <f t="shared" si="0"/>
        <v>219.14191762575703</v>
      </c>
      <c r="H49" s="6">
        <v>2105.91</v>
      </c>
      <c r="I49" s="7">
        <v>6</v>
      </c>
      <c r="J49">
        <f t="shared" si="1"/>
        <v>57.658799999999999</v>
      </c>
    </row>
    <row r="50" spans="1:26">
      <c r="A50" s="4">
        <f t="shared" si="2"/>
        <v>49</v>
      </c>
      <c r="B50" s="32" t="s">
        <v>65</v>
      </c>
      <c r="C50" s="5">
        <v>0.5</v>
      </c>
      <c r="D50" s="5">
        <v>0.5</v>
      </c>
      <c r="E50" s="5"/>
      <c r="F50" s="5"/>
      <c r="G50" s="6">
        <f t="shared" si="0"/>
        <v>368</v>
      </c>
      <c r="H50" s="6">
        <v>184</v>
      </c>
      <c r="I50" s="7">
        <v>6</v>
      </c>
      <c r="J50">
        <f t="shared" si="1"/>
        <v>3</v>
      </c>
    </row>
    <row r="51" spans="1:26">
      <c r="A51" s="4">
        <f t="shared" si="2"/>
        <v>50</v>
      </c>
      <c r="B51" s="32" t="s">
        <v>66</v>
      </c>
      <c r="C51" s="5">
        <v>104.8257</v>
      </c>
      <c r="D51" s="5">
        <v>101.3904</v>
      </c>
      <c r="E51" s="5"/>
      <c r="F51" s="5">
        <v>3.4352999999999998</v>
      </c>
      <c r="G51" s="6">
        <f t="shared" si="0"/>
        <v>231.71798518874667</v>
      </c>
      <c r="H51" s="6">
        <v>24290</v>
      </c>
      <c r="I51" s="7">
        <v>3</v>
      </c>
      <c r="J51">
        <f t="shared" si="1"/>
        <v>314.47710000000001</v>
      </c>
    </row>
    <row r="52" spans="1:26">
      <c r="A52" s="4">
        <f t="shared" si="2"/>
        <v>51</v>
      </c>
      <c r="B52" s="32" t="s">
        <v>66</v>
      </c>
      <c r="C52" s="5">
        <v>12.635300000000001</v>
      </c>
      <c r="D52" s="5"/>
      <c r="E52" s="5">
        <v>12.4793</v>
      </c>
      <c r="F52" s="5">
        <v>0.156</v>
      </c>
      <c r="G52" s="6">
        <f t="shared" si="0"/>
        <v>217.3276455644108</v>
      </c>
      <c r="H52" s="6">
        <v>2746</v>
      </c>
      <c r="I52" s="7">
        <v>7</v>
      </c>
      <c r="J52">
        <f t="shared" si="1"/>
        <v>88.447100000000006</v>
      </c>
    </row>
    <row r="53" spans="1:26">
      <c r="A53" s="4">
        <f t="shared" si="2"/>
        <v>52</v>
      </c>
      <c r="B53" s="32" t="s">
        <v>67</v>
      </c>
      <c r="C53" s="5">
        <v>0.12670000000000001</v>
      </c>
      <c r="D53" s="5"/>
      <c r="E53" s="5">
        <v>0.12670000000000001</v>
      </c>
      <c r="F53" s="5"/>
      <c r="G53" s="6">
        <f t="shared" si="0"/>
        <v>184.0568271507498</v>
      </c>
      <c r="H53" s="6">
        <v>23.32</v>
      </c>
      <c r="I53" s="7">
        <v>6</v>
      </c>
      <c r="J53">
        <f t="shared" si="1"/>
        <v>0.76019999999999999</v>
      </c>
    </row>
    <row r="54" spans="1:26">
      <c r="A54" s="4">
        <f t="shared" si="2"/>
        <v>53</v>
      </c>
      <c r="B54" s="32" t="s">
        <v>68</v>
      </c>
      <c r="C54" s="5">
        <v>38.232900000000001</v>
      </c>
      <c r="D54" s="5">
        <v>27.174399999999999</v>
      </c>
      <c r="E54" s="5">
        <v>11.0585</v>
      </c>
      <c r="F54" s="5"/>
      <c r="G54" s="6">
        <f t="shared" si="0"/>
        <v>291.11864389047128</v>
      </c>
      <c r="H54" s="6">
        <v>11130.31</v>
      </c>
      <c r="I54" s="7">
        <v>6</v>
      </c>
      <c r="J54">
        <f t="shared" si="1"/>
        <v>229.3974</v>
      </c>
    </row>
    <row r="55" spans="1:26">
      <c r="A55" s="4">
        <f t="shared" si="2"/>
        <v>54</v>
      </c>
      <c r="B55" s="32" t="s">
        <v>69</v>
      </c>
      <c r="C55" s="5">
        <v>167.51730000000001</v>
      </c>
      <c r="D55" s="5">
        <v>82.566599999999994</v>
      </c>
      <c r="E55" s="5">
        <v>80.166600000000003</v>
      </c>
      <c r="F55" s="5">
        <v>4.7840999999999996</v>
      </c>
      <c r="G55" s="6">
        <f t="shared" si="0"/>
        <v>211.20206689100169</v>
      </c>
      <c r="H55" s="6">
        <v>35380</v>
      </c>
      <c r="I55" s="7">
        <v>12</v>
      </c>
      <c r="J55">
        <f t="shared" si="1"/>
        <v>2010.2076000000002</v>
      </c>
    </row>
    <row r="56" spans="1:26">
      <c r="A56" s="4">
        <f t="shared" si="2"/>
        <v>55</v>
      </c>
      <c r="B56" s="32" t="s">
        <v>70</v>
      </c>
      <c r="C56" s="5">
        <v>4.8085000000000004</v>
      </c>
      <c r="D56" s="5"/>
      <c r="E56" s="5">
        <v>4.6933999999999996</v>
      </c>
      <c r="F56" s="5">
        <v>0.11509999999999999</v>
      </c>
      <c r="G56" s="6">
        <f t="shared" si="0"/>
        <v>103.98253093480294</v>
      </c>
      <c r="H56" s="6">
        <v>500</v>
      </c>
      <c r="I56" s="7">
        <v>6</v>
      </c>
      <c r="J56">
        <f t="shared" si="1"/>
        <v>28.851000000000003</v>
      </c>
    </row>
    <row r="57" spans="1:26">
      <c r="A57" s="4">
        <f t="shared" si="2"/>
        <v>56</v>
      </c>
      <c r="B57" s="32" t="s">
        <v>71</v>
      </c>
      <c r="C57" s="5">
        <v>5.9339000000000004</v>
      </c>
      <c r="D57" s="5"/>
      <c r="E57" s="5">
        <v>5.9339000000000004</v>
      </c>
      <c r="F57" s="5"/>
      <c r="G57" s="6">
        <f t="shared" si="0"/>
        <v>202.22787711286</v>
      </c>
      <c r="H57" s="6">
        <v>1200</v>
      </c>
      <c r="I57" s="7">
        <v>5</v>
      </c>
      <c r="J57">
        <f t="shared" si="1"/>
        <v>29.669500000000003</v>
      </c>
    </row>
    <row r="58" spans="1:26">
      <c r="A58" s="4">
        <f t="shared" si="2"/>
        <v>57</v>
      </c>
      <c r="B58" s="32" t="s">
        <v>110</v>
      </c>
      <c r="C58" s="5">
        <v>0.15529999999999999</v>
      </c>
      <c r="D58" s="5">
        <v>0.15529999999999999</v>
      </c>
      <c r="E58" s="5"/>
      <c r="F58" s="5"/>
      <c r="G58" s="6">
        <f t="shared" si="0"/>
        <v>450.74050225370252</v>
      </c>
      <c r="H58" s="6">
        <v>70</v>
      </c>
      <c r="I58" s="7">
        <v>5</v>
      </c>
      <c r="J58">
        <f t="shared" si="1"/>
        <v>0.77649999999999997</v>
      </c>
    </row>
    <row r="59" spans="1:26">
      <c r="A59" s="4">
        <f t="shared" si="2"/>
        <v>58</v>
      </c>
      <c r="B59" s="32" t="s">
        <v>72</v>
      </c>
      <c r="C59" s="5">
        <v>5.3985000000000003</v>
      </c>
      <c r="D59" s="5">
        <v>2.3555000000000001</v>
      </c>
      <c r="E59" s="5">
        <v>2.9666000000000001</v>
      </c>
      <c r="F59" s="5">
        <v>7.6399999999999996E-2</v>
      </c>
      <c r="G59" s="6">
        <f t="shared" si="0"/>
        <v>210.71593961285541</v>
      </c>
      <c r="H59" s="6">
        <v>1137.55</v>
      </c>
      <c r="I59" s="7">
        <v>4</v>
      </c>
      <c r="J59">
        <f t="shared" si="1"/>
        <v>21.594000000000001</v>
      </c>
    </row>
    <row r="60" spans="1:26">
      <c r="A60" s="4">
        <f t="shared" si="2"/>
        <v>59</v>
      </c>
      <c r="B60" s="32" t="s">
        <v>73</v>
      </c>
      <c r="C60" s="5">
        <v>1</v>
      </c>
      <c r="D60" s="5">
        <v>1</v>
      </c>
      <c r="E60" s="5"/>
      <c r="F60" s="5"/>
      <c r="G60" s="6">
        <f t="shared" si="0"/>
        <v>276</v>
      </c>
      <c r="H60" s="6">
        <v>276</v>
      </c>
      <c r="I60" s="7">
        <v>1</v>
      </c>
      <c r="J60">
        <f t="shared" si="1"/>
        <v>1</v>
      </c>
      <c r="K60" t="s">
        <v>74</v>
      </c>
    </row>
    <row r="61" spans="1:26">
      <c r="A61" s="4">
        <f t="shared" si="2"/>
        <v>60</v>
      </c>
      <c r="B61" s="32" t="s">
        <v>75</v>
      </c>
      <c r="C61" s="5">
        <v>0.15920000000000001</v>
      </c>
      <c r="D61" s="5">
        <v>0.15920000000000001</v>
      </c>
      <c r="E61" s="5"/>
      <c r="F61" s="5"/>
      <c r="G61" s="6">
        <f t="shared" si="0"/>
        <v>431.9723618090452</v>
      </c>
      <c r="H61" s="6">
        <v>68.77</v>
      </c>
      <c r="I61" s="7">
        <v>6</v>
      </c>
      <c r="J61">
        <f t="shared" si="1"/>
        <v>0.95520000000000005</v>
      </c>
    </row>
    <row r="62" spans="1:26">
      <c r="A62" s="4">
        <f t="shared" si="2"/>
        <v>61</v>
      </c>
      <c r="B62" s="32" t="s">
        <v>40</v>
      </c>
      <c r="C62" s="5">
        <v>5.0423</v>
      </c>
      <c r="D62" s="5">
        <v>5.0111999999999997</v>
      </c>
      <c r="E62" s="5"/>
      <c r="F62" s="5">
        <v>3.1099999999999999E-2</v>
      </c>
      <c r="G62" s="6">
        <f t="shared" si="0"/>
        <v>0</v>
      </c>
      <c r="H62" s="6"/>
      <c r="I62" s="7">
        <v>1</v>
      </c>
      <c r="J62">
        <f t="shared" si="1"/>
        <v>5.0423</v>
      </c>
    </row>
    <row r="63" spans="1:26" s="20" customFormat="1">
      <c r="A63" s="4">
        <f t="shared" si="2"/>
        <v>62</v>
      </c>
      <c r="B63" s="33" t="s">
        <v>10</v>
      </c>
      <c r="C63" s="17">
        <v>40.314900000000002</v>
      </c>
      <c r="D63" s="17">
        <v>39.844799999999999</v>
      </c>
      <c r="E63" s="17"/>
      <c r="F63" s="17">
        <v>0.47010000000000002</v>
      </c>
      <c r="G63" s="18">
        <f t="shared" si="0"/>
        <v>462.54288116800484</v>
      </c>
      <c r="H63" s="18">
        <v>18647.37</v>
      </c>
      <c r="I63" s="19">
        <v>11</v>
      </c>
      <c r="J63" s="20">
        <f t="shared" si="1"/>
        <v>443.46390000000002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s="20" customFormat="1">
      <c r="A64" s="4">
        <f t="shared" si="2"/>
        <v>63</v>
      </c>
      <c r="B64" s="33" t="s">
        <v>10</v>
      </c>
      <c r="C64" s="17">
        <v>43.161099999999998</v>
      </c>
      <c r="D64" s="17">
        <v>40.084099999999999</v>
      </c>
      <c r="E64" s="17">
        <v>0.66120000000000001</v>
      </c>
      <c r="F64" s="17">
        <v>2.4157999999999999</v>
      </c>
      <c r="G64" s="18">
        <f t="shared" si="0"/>
        <v>383.90680497021629</v>
      </c>
      <c r="H64" s="18">
        <v>16569.84</v>
      </c>
      <c r="I64" s="19">
        <v>11</v>
      </c>
      <c r="J64" s="20">
        <f t="shared" si="1"/>
        <v>474.77209999999997</v>
      </c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s="24" customFormat="1">
      <c r="A65" s="4">
        <f t="shared" si="2"/>
        <v>64</v>
      </c>
      <c r="B65" s="34" t="s">
        <v>11</v>
      </c>
      <c r="C65" s="21">
        <v>20.1983</v>
      </c>
      <c r="D65" s="21">
        <v>20.1983</v>
      </c>
      <c r="E65" s="21"/>
      <c r="F65" s="21"/>
      <c r="G65" s="22">
        <f t="shared" si="0"/>
        <v>400.72679383908547</v>
      </c>
      <c r="H65" s="22">
        <v>8094</v>
      </c>
      <c r="I65" s="23">
        <v>1</v>
      </c>
      <c r="J65" s="24">
        <f t="shared" si="1"/>
        <v>20.1983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s="24" customFormat="1">
      <c r="A66" s="4">
        <f t="shared" si="2"/>
        <v>65</v>
      </c>
      <c r="B66" s="34" t="s">
        <v>11</v>
      </c>
      <c r="C66" s="21">
        <v>28.659199999999998</v>
      </c>
      <c r="D66" s="21">
        <v>17.8977</v>
      </c>
      <c r="E66" s="21">
        <v>9.1521000000000008</v>
      </c>
      <c r="F66" s="21">
        <v>1.6093999999999999</v>
      </c>
      <c r="G66" s="22">
        <f t="shared" si="0"/>
        <v>355.62751228226887</v>
      </c>
      <c r="H66" s="22">
        <v>10192</v>
      </c>
      <c r="I66" s="23">
        <v>2</v>
      </c>
      <c r="J66" s="24">
        <f t="shared" si="1"/>
        <v>57.318399999999997</v>
      </c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s="24" customFormat="1">
      <c r="A67" s="4">
        <f t="shared" si="2"/>
        <v>66</v>
      </c>
      <c r="B67" s="34" t="s">
        <v>11</v>
      </c>
      <c r="C67" s="21">
        <v>20.198399999999999</v>
      </c>
      <c r="D67" s="21">
        <v>18.816500000000001</v>
      </c>
      <c r="E67" s="21">
        <v>0.99880000000000002</v>
      </c>
      <c r="F67" s="21">
        <v>0.3831</v>
      </c>
      <c r="G67" s="22">
        <f t="shared" si="0"/>
        <v>455.03604245880865</v>
      </c>
      <c r="H67" s="22">
        <v>9191</v>
      </c>
      <c r="I67" s="23">
        <v>3</v>
      </c>
      <c r="J67" s="24">
        <f t="shared" si="1"/>
        <v>60.595199999999998</v>
      </c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s="24" customFormat="1">
      <c r="A68" s="4">
        <f t="shared" ref="A68" si="3">A67+1</f>
        <v>67</v>
      </c>
      <c r="B68" s="34" t="s">
        <v>11</v>
      </c>
      <c r="C68" s="21">
        <v>32.482999999999997</v>
      </c>
      <c r="D68" s="21">
        <v>32.267200000000003</v>
      </c>
      <c r="E68" s="21"/>
      <c r="F68" s="21">
        <v>0.21579999999999999</v>
      </c>
      <c r="G68" s="22">
        <f t="shared" si="0"/>
        <v>315.29600098513072</v>
      </c>
      <c r="H68" s="22">
        <v>10241.76</v>
      </c>
      <c r="I68" s="23">
        <v>5</v>
      </c>
      <c r="J68" s="24">
        <f t="shared" si="1"/>
        <v>162.41499999999999</v>
      </c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8.45">
      <c r="A69" s="10"/>
      <c r="B69" s="10"/>
      <c r="C69" s="11">
        <f>SUM(C2:C68)</f>
        <v>1178.2093</v>
      </c>
      <c r="D69" s="11">
        <f>SUM(D2:D68)</f>
        <v>796.09160000000008</v>
      </c>
      <c r="E69" s="11">
        <f>SUM(E2:E68)</f>
        <v>336.56050000000005</v>
      </c>
      <c r="F69" s="11">
        <f>SUM(F2:F68)</f>
        <v>45.703800000000008</v>
      </c>
      <c r="G69" s="12">
        <f>H69/C69</f>
        <v>306.75548902898663</v>
      </c>
      <c r="H69" s="12">
        <f>SUM(H2:H68)</f>
        <v>361422.17000000004</v>
      </c>
      <c r="I69" s="13">
        <f>J69/C69</f>
        <v>6.0889479483823461</v>
      </c>
      <c r="J69" s="48">
        <f>SUM(J2:J68)</f>
        <v>7174.0551000000005</v>
      </c>
    </row>
    <row r="70" spans="1:26"/>
    <row r="71" spans="1:26" ht="18.45">
      <c r="B71" s="14" t="s">
        <v>12</v>
      </c>
      <c r="C71" s="15">
        <v>472.65269999999998</v>
      </c>
      <c r="D71" s="15">
        <v>332.4522</v>
      </c>
      <c r="E71" s="15">
        <v>99.265299999999996</v>
      </c>
      <c r="F71" s="15">
        <v>40.935200000000002</v>
      </c>
      <c r="G71" s="35"/>
    </row>
    <row r="73" spans="1:26" ht="18.45">
      <c r="B73" s="10" t="s">
        <v>13</v>
      </c>
      <c r="C73" s="11">
        <f>C71+C69</f>
        <v>1650.8620000000001</v>
      </c>
      <c r="D73" s="11">
        <f>D71+D69</f>
        <v>1128.5438000000001</v>
      </c>
      <c r="E73" s="11">
        <f>E71+E69</f>
        <v>435.82580000000007</v>
      </c>
      <c r="F73" s="11">
        <f>F71+F69</f>
        <v>86.63900000000001</v>
      </c>
      <c r="G73" s="36"/>
    </row>
    <row r="75" spans="1:26" ht="18.45">
      <c r="B75" s="26" t="s">
        <v>14</v>
      </c>
      <c r="C75" s="27">
        <f>SUM(C2:C62)</f>
        <v>993.19439999999997</v>
      </c>
    </row>
    <row r="77" spans="1:26" ht="18.45">
      <c r="B77" s="28" t="s">
        <v>15</v>
      </c>
      <c r="C77" s="29">
        <f>SUM(C63:C64)</f>
        <v>83.475999999999999</v>
      </c>
    </row>
    <row r="78" spans="1:26" ht="18.45">
      <c r="B78" s="16"/>
      <c r="C78" s="16"/>
    </row>
    <row r="79" spans="1:26" ht="18.45">
      <c r="B79" s="30" t="s">
        <v>16</v>
      </c>
      <c r="C79" s="31">
        <f>SUM(C65:C68)</f>
        <v>101.53890000000001</v>
      </c>
    </row>
    <row r="80" spans="1:26" ht="18.45">
      <c r="B80" s="16"/>
      <c r="C80" s="16"/>
    </row>
    <row r="83" spans="2:10">
      <c r="C83" s="37" t="s">
        <v>2</v>
      </c>
      <c r="D83" s="38" t="s">
        <v>76</v>
      </c>
      <c r="E83" s="38" t="s">
        <v>4</v>
      </c>
      <c r="F83" s="38" t="s">
        <v>77</v>
      </c>
      <c r="G83" s="38"/>
      <c r="H83" s="38" t="s">
        <v>78</v>
      </c>
      <c r="I83" s="39" t="s">
        <v>8</v>
      </c>
    </row>
    <row r="84" spans="2:10">
      <c r="C84" s="40"/>
      <c r="D84" s="41" t="s">
        <v>79</v>
      </c>
      <c r="E84" s="41" t="s">
        <v>79</v>
      </c>
      <c r="F84" s="41" t="s">
        <v>79</v>
      </c>
      <c r="G84" s="41"/>
      <c r="H84" s="41"/>
      <c r="I84" s="42"/>
    </row>
    <row r="85" spans="2:10">
      <c r="H85" s="43"/>
    </row>
    <row r="86" spans="2:10">
      <c r="B86" s="44" t="s">
        <v>80</v>
      </c>
      <c r="H86" s="43"/>
    </row>
    <row r="87" spans="2:10">
      <c r="B87" t="s">
        <v>45</v>
      </c>
      <c r="C87" s="45">
        <v>23.920400000000001</v>
      </c>
      <c r="D87" s="45"/>
      <c r="E87" s="45">
        <v>23.920400000000001</v>
      </c>
      <c r="F87" s="45"/>
      <c r="H87" s="49">
        <v>2870.45</v>
      </c>
      <c r="I87" s="50">
        <v>4</v>
      </c>
    </row>
    <row r="88" spans="2:10">
      <c r="B88" t="s">
        <v>88</v>
      </c>
      <c r="C88">
        <v>3.7959000000000001</v>
      </c>
      <c r="E88">
        <v>3.7959000000000001</v>
      </c>
      <c r="H88" s="49">
        <v>650</v>
      </c>
      <c r="I88" s="50">
        <v>6</v>
      </c>
    </row>
    <row r="89" spans="2:10">
      <c r="B89" t="s">
        <v>48</v>
      </c>
      <c r="C89">
        <v>116.1173</v>
      </c>
      <c r="D89">
        <v>116.1173</v>
      </c>
      <c r="H89" s="49">
        <v>33145</v>
      </c>
      <c r="I89" s="50">
        <v>5</v>
      </c>
    </row>
    <row r="90" spans="2:10">
      <c r="B90" t="s">
        <v>94</v>
      </c>
      <c r="C90">
        <v>1.4666999999999999</v>
      </c>
      <c r="E90">
        <v>1.4391</v>
      </c>
      <c r="F90">
        <v>2.76E-2</v>
      </c>
      <c r="H90" s="49">
        <v>215</v>
      </c>
      <c r="I90" s="50">
        <v>3</v>
      </c>
    </row>
    <row r="91" spans="2:10">
      <c r="H91" s="49"/>
      <c r="I91" s="50"/>
      <c r="J91" t="s">
        <v>84</v>
      </c>
    </row>
    <row r="92" spans="2:10">
      <c r="B92" s="44" t="s">
        <v>81</v>
      </c>
      <c r="H92" s="49"/>
      <c r="I92" s="50"/>
    </row>
    <row r="93" spans="2:10">
      <c r="B93" t="s">
        <v>45</v>
      </c>
      <c r="C93">
        <v>33.714799999999997</v>
      </c>
      <c r="E93">
        <v>27.998699999999999</v>
      </c>
      <c r="F93">
        <v>5.7161</v>
      </c>
      <c r="H93" s="49">
        <v>5987.66</v>
      </c>
      <c r="I93" s="50">
        <v>6</v>
      </c>
      <c r="J93" t="s">
        <v>82</v>
      </c>
    </row>
    <row r="94" spans="2:10">
      <c r="B94" t="s">
        <v>45</v>
      </c>
      <c r="C94">
        <v>1.6233</v>
      </c>
      <c r="E94">
        <v>1.6020000000000001</v>
      </c>
      <c r="F94">
        <v>2.1299999999999999E-2</v>
      </c>
      <c r="H94" s="49">
        <v>272.33999999999997</v>
      </c>
      <c r="I94" s="50">
        <v>5</v>
      </c>
      <c r="J94" t="s">
        <v>83</v>
      </c>
    </row>
    <row r="95" spans="2:10">
      <c r="B95" t="s">
        <v>45</v>
      </c>
      <c r="C95" s="45">
        <v>33.607999999999997</v>
      </c>
      <c r="D95">
        <v>33.192799999999998</v>
      </c>
      <c r="F95">
        <v>0.41520000000000001</v>
      </c>
      <c r="H95" s="49">
        <v>5477</v>
      </c>
      <c r="I95" s="50">
        <v>4</v>
      </c>
      <c r="J95" t="s">
        <v>87</v>
      </c>
    </row>
    <row r="96" spans="2:10">
      <c r="B96" t="s">
        <v>45</v>
      </c>
      <c r="C96" s="45">
        <v>3.2</v>
      </c>
      <c r="E96" s="45">
        <v>3.2</v>
      </c>
      <c r="H96" s="49">
        <v>704</v>
      </c>
      <c r="I96" s="50">
        <v>2</v>
      </c>
      <c r="J96" t="s">
        <v>85</v>
      </c>
    </row>
    <row r="97" spans="2:10">
      <c r="B97" t="s">
        <v>45</v>
      </c>
      <c r="C97">
        <v>3.3243</v>
      </c>
      <c r="E97">
        <v>3.1808999999999998</v>
      </c>
      <c r="F97">
        <v>0.1434</v>
      </c>
      <c r="H97" s="49">
        <v>547.11</v>
      </c>
      <c r="I97" s="50">
        <v>7</v>
      </c>
      <c r="J97" t="s">
        <v>86</v>
      </c>
    </row>
    <row r="98" spans="2:10">
      <c r="B98" t="s">
        <v>45</v>
      </c>
      <c r="C98">
        <v>12.635300000000001</v>
      </c>
      <c r="E98">
        <v>12.4793</v>
      </c>
      <c r="F98">
        <v>0.156</v>
      </c>
      <c r="H98" s="49">
        <v>2746</v>
      </c>
      <c r="I98" s="50">
        <v>8</v>
      </c>
      <c r="J98" t="s">
        <v>87</v>
      </c>
    </row>
    <row r="99" spans="2:10">
      <c r="B99" t="s">
        <v>88</v>
      </c>
      <c r="C99">
        <v>4.6835000000000004</v>
      </c>
      <c r="E99">
        <v>4.6835000000000004</v>
      </c>
      <c r="H99" s="49">
        <v>843</v>
      </c>
      <c r="I99" s="50">
        <v>2</v>
      </c>
      <c r="J99" t="s">
        <v>90</v>
      </c>
    </row>
    <row r="100" spans="2:10">
      <c r="B100" t="s">
        <v>89</v>
      </c>
      <c r="C100">
        <v>23.005199999999999</v>
      </c>
      <c r="E100">
        <v>23.005199999999999</v>
      </c>
      <c r="H100" s="49">
        <v>2466.4</v>
      </c>
      <c r="I100" s="50">
        <v>1</v>
      </c>
      <c r="J100" t="s">
        <v>90</v>
      </c>
    </row>
    <row r="101" spans="2:10">
      <c r="B101" t="s">
        <v>48</v>
      </c>
      <c r="C101">
        <v>5.6146000000000003</v>
      </c>
      <c r="D101">
        <v>5.6146000000000003</v>
      </c>
      <c r="H101" s="49">
        <v>920</v>
      </c>
      <c r="I101" s="50">
        <v>4</v>
      </c>
      <c r="J101" t="s">
        <v>91</v>
      </c>
    </row>
    <row r="102" spans="2:10">
      <c r="B102" t="s">
        <v>48</v>
      </c>
      <c r="C102">
        <v>5.3556999999999997</v>
      </c>
      <c r="D102">
        <v>5.3178999999999998</v>
      </c>
      <c r="F102">
        <v>3.78E-2</v>
      </c>
      <c r="H102" s="49">
        <v>1191.21</v>
      </c>
      <c r="I102" s="50">
        <v>1</v>
      </c>
      <c r="J102" t="s">
        <v>92</v>
      </c>
    </row>
    <row r="103" spans="2:10">
      <c r="B103" t="s">
        <v>94</v>
      </c>
      <c r="C103">
        <v>29.707799999999999</v>
      </c>
      <c r="E103">
        <v>28.156600000000001</v>
      </c>
      <c r="F103">
        <v>1.5511999999999999</v>
      </c>
      <c r="H103" s="49">
        <v>4225</v>
      </c>
      <c r="I103" s="50">
        <v>1</v>
      </c>
      <c r="J103" t="s">
        <v>95</v>
      </c>
    </row>
    <row r="104" spans="2:10">
      <c r="B104" s="46" t="s">
        <v>94</v>
      </c>
      <c r="C104" s="45">
        <v>19.332999999999998</v>
      </c>
      <c r="E104">
        <v>16.652699999999999</v>
      </c>
      <c r="F104">
        <v>2.6802999999999999</v>
      </c>
      <c r="H104" s="49">
        <v>6510</v>
      </c>
      <c r="I104" s="50">
        <v>1</v>
      </c>
      <c r="J104" t="s">
        <v>95</v>
      </c>
    </row>
    <row r="105" spans="2:10">
      <c r="B105" s="44"/>
      <c r="H105" s="43"/>
      <c r="I105" s="50"/>
    </row>
    <row r="106" spans="2:10">
      <c r="B106" s="44" t="s">
        <v>96</v>
      </c>
      <c r="H106" s="43"/>
      <c r="I106" s="50"/>
    </row>
    <row r="107" spans="2:10">
      <c r="B107" t="s">
        <v>97</v>
      </c>
      <c r="C107" s="45">
        <v>0.14000000000000001</v>
      </c>
      <c r="F107" s="45">
        <v>0.14000000000000001</v>
      </c>
      <c r="H107" s="43">
        <v>100</v>
      </c>
      <c r="I107" s="50">
        <v>3</v>
      </c>
    </row>
    <row r="108" spans="2:10">
      <c r="B108" t="s">
        <v>100</v>
      </c>
      <c r="H108" s="43">
        <v>100</v>
      </c>
      <c r="I108" t="s">
        <v>98</v>
      </c>
      <c r="J108" t="s">
        <v>99</v>
      </c>
    </row>
    <row r="109" spans="2:10">
      <c r="B109" t="s">
        <v>101</v>
      </c>
      <c r="H109" s="43">
        <v>0</v>
      </c>
      <c r="I109" t="s">
        <v>98</v>
      </c>
      <c r="J109" t="s">
        <v>102</v>
      </c>
    </row>
    <row r="110" spans="2:10">
      <c r="C110" s="45"/>
      <c r="D110" s="45"/>
      <c r="H110" s="43"/>
    </row>
    <row r="112" spans="2:10">
      <c r="B112" s="44" t="s">
        <v>93</v>
      </c>
    </row>
    <row r="113" spans="2:6">
      <c r="B113" t="s">
        <v>103</v>
      </c>
    </row>
    <row r="114" spans="2:6">
      <c r="B114" s="47" t="s">
        <v>104</v>
      </c>
      <c r="C114">
        <v>39.844799999999999</v>
      </c>
      <c r="D114">
        <v>39.844799999999999</v>
      </c>
    </row>
    <row r="115" spans="2:6">
      <c r="B115" s="47" t="s">
        <v>105</v>
      </c>
      <c r="C115">
        <v>43.510899999999999</v>
      </c>
      <c r="D115">
        <v>43.510899999999999</v>
      </c>
      <c r="F115" t="s">
        <v>106</v>
      </c>
    </row>
    <row r="117" spans="2:6">
      <c r="B117" t="s">
        <v>107</v>
      </c>
    </row>
    <row r="118" spans="2:6">
      <c r="B118" s="47" t="s">
        <v>104</v>
      </c>
      <c r="C118" s="45">
        <v>21.949000000000002</v>
      </c>
      <c r="D118" s="45">
        <v>21.949000000000002</v>
      </c>
    </row>
    <row r="119" spans="2:6">
      <c r="B119" s="47" t="s">
        <v>105</v>
      </c>
      <c r="C119" s="45">
        <v>21.949000000000002</v>
      </c>
      <c r="D119" s="45">
        <v>21.949000000000002</v>
      </c>
    </row>
  </sheetData>
  <autoFilter ref="A1:I71"/>
  <pageMargins left="0.19685039370078741" right="0.19685039370078741" top="0.39370078740157483" bottom="0.19685039370078741" header="0" footer="0.51181102362204722"/>
  <pageSetup paperSize="9" firstPageNumber="0" fitToWidth="2" fitToHeight="0" orientation="landscape" r:id="rId1"/>
  <headerFooter>
    <oddHeader>&amp;C&amp;"Calibri,Fett"&amp;12&amp;UPachtverträge Milchhof Alt Sührkow GmbH</oddHead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Pachtverträge</vt:lpstr>
      <vt:lpstr>Pachtverträge!Druckbereich</vt:lpstr>
      <vt:lpstr>Pachtverträge!Print_Titles_0_0</vt:lpstr>
    </vt:vector>
  </TitlesOfParts>
  <Company>Mafia@Home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Kleingarn</dc:creator>
  <cp:lastModifiedBy>Bank</cp:lastModifiedBy>
  <cp:revision>7</cp:revision>
  <cp:lastPrinted>2023-11-23T09:59:41Z</cp:lastPrinted>
  <dcterms:created xsi:type="dcterms:W3CDTF">2014-03-27T09:48:56Z</dcterms:created>
  <dcterms:modified xsi:type="dcterms:W3CDTF">2024-06-25T12:52:31Z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Mafia@Home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